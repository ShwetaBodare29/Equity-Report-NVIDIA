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trlProps/ctrlProp3.xml" ContentType="application/vnd.ms-excel.controlproperties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D7A1C47E2BD9692/Desktop/Shweta/"/>
    </mc:Choice>
  </mc:AlternateContent>
  <xr:revisionPtr revIDLastSave="1162" documentId="8_{39A72570-036E-4BEA-A297-E3CF8B12EAA7}" xr6:coauthVersionLast="47" xr6:coauthVersionMax="47" xr10:uidLastSave="{7EF74E65-A286-438B-A424-1B7FFE57DCE1}"/>
  <bookViews>
    <workbookView xWindow="-103" yWindow="-103" windowWidth="22149" windowHeight="13200" tabRatio="796" xr2:uid="{3B5C2B52-9CD7-42A3-83D4-AE1D1A53F68C}"/>
  </bookViews>
  <sheets>
    <sheet name="Cover" sheetId="8" r:id="rId1"/>
    <sheet name="Income Statement" sheetId="4" r:id="rId2"/>
    <sheet name="Balance Sheet" sheetId="5" r:id="rId3"/>
    <sheet name="Cashflow Statement" sheetId="6" r:id="rId4"/>
    <sheet name="Outputs" sheetId="9" r:id="rId5"/>
    <sheet name="Inputs" sheetId="3" r:id="rId6"/>
    <sheet name="Model" sheetId="7" r:id="rId7"/>
    <sheet name="PBI - Export" sheetId="10" r:id="rId8"/>
  </sheets>
  <externalReferences>
    <externalReference r:id="rId9"/>
    <externalReference r:id="rId10"/>
  </externalReference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"06/27/2025 09:48:59"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Outputs!#REF!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8" i="7" l="1"/>
  <c r="D92" i="7"/>
  <c r="D7" i="3" l="1"/>
  <c r="O412" i="7" l="1"/>
  <c r="P412" i="7"/>
  <c r="N412" i="7"/>
  <c r="L388" i="7"/>
  <c r="K388" i="7"/>
  <c r="J388" i="7"/>
  <c r="G388" i="7"/>
  <c r="O410" i="7" s="1"/>
  <c r="D388" i="7"/>
  <c r="F388" i="7" s="1"/>
  <c r="O398" i="7"/>
  <c r="N398" i="7"/>
  <c r="F398" i="7"/>
  <c r="P398" i="7" s="1"/>
  <c r="O397" i="7"/>
  <c r="N397" i="7"/>
  <c r="F397" i="7"/>
  <c r="P397" i="7" s="1"/>
  <c r="O396" i="7"/>
  <c r="N396" i="7"/>
  <c r="F396" i="7"/>
  <c r="P396" i="7" s="1"/>
  <c r="O395" i="7"/>
  <c r="N395" i="7"/>
  <c r="F395" i="7"/>
  <c r="P395" i="7" s="1"/>
  <c r="O394" i="7"/>
  <c r="N394" i="7"/>
  <c r="F394" i="7"/>
  <c r="P394" i="7" s="1"/>
  <c r="O393" i="7"/>
  <c r="N393" i="7"/>
  <c r="F393" i="7"/>
  <c r="P393" i="7" s="1"/>
  <c r="O392" i="7"/>
  <c r="N392" i="7"/>
  <c r="F392" i="7"/>
  <c r="P392" i="7" s="1"/>
  <c r="O391" i="7"/>
  <c r="N391" i="7"/>
  <c r="F391" i="7"/>
  <c r="P391" i="7" s="1"/>
  <c r="O390" i="7"/>
  <c r="N390" i="7"/>
  <c r="F390" i="7"/>
  <c r="P390" i="7" s="1"/>
  <c r="O389" i="7"/>
  <c r="N389" i="7"/>
  <c r="F389" i="7"/>
  <c r="P389" i="7" s="1"/>
  <c r="J329" i="7"/>
  <c r="J374" i="7" s="1"/>
  <c r="N410" i="7" l="1"/>
  <c r="P410" i="7"/>
  <c r="P388" i="7"/>
  <c r="H388" i="7"/>
  <c r="O388" i="7" l="1"/>
  <c r="N388" i="7"/>
  <c r="P400" i="7"/>
  <c r="P405" i="7"/>
  <c r="P404" i="7"/>
  <c r="P403" i="7"/>
  <c r="P402" i="7"/>
  <c r="P401" i="7"/>
  <c r="P411" i="7" l="1"/>
  <c r="P414" i="7" s="1"/>
  <c r="P409" i="7"/>
  <c r="N401" i="7"/>
  <c r="N403" i="7"/>
  <c r="N409" i="7" s="1"/>
  <c r="N411" i="7" s="1"/>
  <c r="N414" i="7" s="1"/>
  <c r="N400" i="7"/>
  <c r="N405" i="7"/>
  <c r="N402" i="7"/>
  <c r="N404" i="7"/>
  <c r="O403" i="7"/>
  <c r="O409" i="7" s="1"/>
  <c r="O411" i="7" s="1"/>
  <c r="O414" i="7" s="1"/>
  <c r="O402" i="7"/>
  <c r="O404" i="7"/>
  <c r="O400" i="7"/>
  <c r="O401" i="7"/>
  <c r="O405" i="7"/>
  <c r="N415" i="7" l="1"/>
  <c r="P83" i="9"/>
  <c r="O415" i="7"/>
  <c r="O83" i="9"/>
  <c r="P415" i="7"/>
  <c r="N83" i="9"/>
  <c r="O10" i="9"/>
  <c r="C295" i="7" s="1"/>
  <c r="F102" i="3"/>
  <c r="N12" i="9"/>
  <c r="F57" i="9"/>
  <c r="F20" i="9"/>
  <c r="K295" i="7"/>
  <c r="J295" i="7"/>
  <c r="J296" i="7" s="1"/>
  <c r="K340" i="7"/>
  <c r="J340" i="7"/>
  <c r="J341" i="7" s="1"/>
  <c r="O50" i="9"/>
  <c r="O51" i="9"/>
  <c r="O13" i="9"/>
  <c r="O14" i="9"/>
  <c r="O374" i="7"/>
  <c r="O329" i="7"/>
  <c r="C8" i="7"/>
  <c r="O8" i="7" s="1"/>
  <c r="O157" i="7" s="1"/>
  <c r="O47" i="9"/>
  <c r="D136" i="7"/>
  <c r="D135" i="7"/>
  <c r="D99" i="7"/>
  <c r="B93" i="7"/>
  <c r="D93" i="7"/>
  <c r="F101" i="3"/>
  <c r="M16" i="8" l="1"/>
  <c r="M15" i="8"/>
  <c r="F103" i="3"/>
  <c r="K341" i="7"/>
  <c r="K296" i="7"/>
  <c r="H8" i="7"/>
  <c r="H157" i="7" s="1"/>
  <c r="K8" i="7"/>
  <c r="K157" i="7" s="1"/>
  <c r="P8" i="7"/>
  <c r="P157" i="7" s="1"/>
  <c r="I8" i="7"/>
  <c r="I157" i="7" s="1"/>
  <c r="J8" i="7"/>
  <c r="J157" i="7" s="1"/>
  <c r="L8" i="7"/>
  <c r="L157" i="7" s="1"/>
  <c r="M8" i="7"/>
  <c r="M157" i="7" s="1"/>
  <c r="F8" i="7"/>
  <c r="F157" i="7" s="1"/>
  <c r="N8" i="7"/>
  <c r="N157" i="7" s="1"/>
  <c r="G8" i="7"/>
  <c r="G157" i="7" s="1"/>
  <c r="O12" i="9" l="1"/>
  <c r="O49" i="9"/>
  <c r="C340" i="7"/>
  <c r="J318" i="7"/>
  <c r="J311" i="7"/>
  <c r="J304" i="7"/>
  <c r="L341" i="7"/>
  <c r="M341" i="7" s="1"/>
  <c r="N341" i="7" s="1"/>
  <c r="O341" i="7" s="1"/>
  <c r="P341" i="7" s="1"/>
  <c r="L296" i="7"/>
  <c r="M296" i="7" s="1"/>
  <c r="N296" i="7" s="1"/>
  <c r="O296" i="7" s="1"/>
  <c r="P296" i="7" s="1"/>
  <c r="L340" i="7"/>
  <c r="M340" i="7" s="1"/>
  <c r="N340" i="7" s="1"/>
  <c r="O340" i="7" s="1"/>
  <c r="P340" i="7" s="1"/>
  <c r="L295" i="7"/>
  <c r="M295" i="7" s="1"/>
  <c r="N295" i="7" s="1"/>
  <c r="O295" i="7" s="1"/>
  <c r="P295" i="7" s="1"/>
  <c r="G13" i="9" l="1"/>
  <c r="H13" i="9" l="1"/>
  <c r="G12" i="9"/>
  <c r="H12" i="9" s="1"/>
  <c r="G14" i="9"/>
  <c r="H14" i="9" s="1"/>
  <c r="G20" i="9"/>
  <c r="H20" i="9" s="1"/>
  <c r="P84" i="9" l="1"/>
  <c r="O84" i="9"/>
  <c r="N84" i="9"/>
  <c r="E20" i="9"/>
  <c r="D20" i="9" s="1"/>
  <c r="E57" i="9" l="1"/>
  <c r="D51" i="9"/>
  <c r="D50" i="9"/>
  <c r="F73" i="9"/>
  <c r="D49" i="9"/>
  <c r="J363" i="7"/>
  <c r="J356" i="7"/>
  <c r="J349" i="7"/>
  <c r="N62" i="9" l="1"/>
  <c r="N73" i="9" s="1"/>
  <c r="N57" i="9"/>
  <c r="M20" i="9"/>
  <c r="E31" i="9" s="1"/>
  <c r="M31" i="9" s="1"/>
  <c r="N20" i="9"/>
  <c r="F31" i="9" s="1"/>
  <c r="N31" i="9" s="1"/>
  <c r="P20" i="9"/>
  <c r="H31" i="9" s="1"/>
  <c r="P31" i="9" s="1"/>
  <c r="E70" i="9"/>
  <c r="M59" i="9" s="1"/>
  <c r="M70" i="9" s="1"/>
  <c r="G71" i="9"/>
  <c r="O60" i="9" s="1"/>
  <c r="O71" i="9" s="1"/>
  <c r="G49" i="9"/>
  <c r="H49" i="9" s="1"/>
  <c r="G57" i="9"/>
  <c r="H57" i="9" s="1"/>
  <c r="H68" i="9" s="1"/>
  <c r="P68" i="9" s="1"/>
  <c r="G73" i="9"/>
  <c r="O62" i="9" s="1"/>
  <c r="O73" i="9" s="1"/>
  <c r="G51" i="9"/>
  <c r="H51" i="9" s="1"/>
  <c r="D70" i="9"/>
  <c r="L59" i="9" s="1"/>
  <c r="L70" i="9" s="1"/>
  <c r="H73" i="9"/>
  <c r="P62" i="9" s="1"/>
  <c r="P73" i="9" s="1"/>
  <c r="F68" i="9"/>
  <c r="N68" i="9" s="1"/>
  <c r="H71" i="9"/>
  <c r="P60" i="9" s="1"/>
  <c r="P71" i="9" s="1"/>
  <c r="G69" i="9"/>
  <c r="O58" i="9" s="1"/>
  <c r="O69" i="9" s="1"/>
  <c r="H69" i="9"/>
  <c r="P58" i="9" s="1"/>
  <c r="P69" i="9" s="1"/>
  <c r="D72" i="9"/>
  <c r="L61" i="9" s="1"/>
  <c r="L72" i="9" s="1"/>
  <c r="E72" i="9"/>
  <c r="M61" i="9" s="1"/>
  <c r="M72" i="9" s="1"/>
  <c r="M57" i="9"/>
  <c r="D57" i="9"/>
  <c r="E68" i="9"/>
  <c r="M68" i="9" s="1"/>
  <c r="F70" i="9"/>
  <c r="N59" i="9" s="1"/>
  <c r="N70" i="9" s="1"/>
  <c r="F72" i="9"/>
  <c r="N61" i="9" s="1"/>
  <c r="N72" i="9" s="1"/>
  <c r="G72" i="9"/>
  <c r="O61" i="9" s="1"/>
  <c r="O72" i="9" s="1"/>
  <c r="G50" i="9"/>
  <c r="H50" i="9" s="1"/>
  <c r="D69" i="9"/>
  <c r="L58" i="9" s="1"/>
  <c r="L69" i="9" s="1"/>
  <c r="H70" i="9"/>
  <c r="P59" i="9" s="1"/>
  <c r="P70" i="9" s="1"/>
  <c r="D71" i="9"/>
  <c r="L60" i="9" s="1"/>
  <c r="L71" i="9" s="1"/>
  <c r="H72" i="9"/>
  <c r="P61" i="9" s="1"/>
  <c r="P72" i="9" s="1"/>
  <c r="D73" i="9"/>
  <c r="L62" i="9" s="1"/>
  <c r="L73" i="9" s="1"/>
  <c r="E69" i="9"/>
  <c r="M58" i="9" s="1"/>
  <c r="M69" i="9" s="1"/>
  <c r="E71" i="9"/>
  <c r="M60" i="9" s="1"/>
  <c r="M71" i="9" s="1"/>
  <c r="E73" i="9"/>
  <c r="M62" i="9" s="1"/>
  <c r="M73" i="9" s="1"/>
  <c r="G70" i="9"/>
  <c r="O59" i="9" s="1"/>
  <c r="O70" i="9" s="1"/>
  <c r="F69" i="9"/>
  <c r="N58" i="9" s="1"/>
  <c r="N69" i="9" s="1"/>
  <c r="F71" i="9"/>
  <c r="N60" i="9" s="1"/>
  <c r="N71" i="9" s="1"/>
  <c r="K352" i="7"/>
  <c r="K355" i="7" s="1"/>
  <c r="P85" i="9" l="1"/>
  <c r="O85" i="9"/>
  <c r="N85" i="9"/>
  <c r="L20" i="9"/>
  <c r="D31" i="9" s="1"/>
  <c r="L31" i="9" s="1"/>
  <c r="O20" i="9"/>
  <c r="G31" i="9" s="1"/>
  <c r="O31" i="9" s="1"/>
  <c r="O57" i="9"/>
  <c r="P57" i="9"/>
  <c r="G68" i="9"/>
  <c r="O68" i="9" s="1"/>
  <c r="L57" i="9"/>
  <c r="D68" i="9"/>
  <c r="L68" i="9" s="1"/>
  <c r="L352" i="7"/>
  <c r="L355" i="7" s="1"/>
  <c r="J244" i="7"/>
  <c r="K241" i="7" s="1"/>
  <c r="G61" i="7"/>
  <c r="H61" i="7"/>
  <c r="I61" i="7"/>
  <c r="J61" i="7"/>
  <c r="F61" i="7"/>
  <c r="P61" i="7"/>
  <c r="P278" i="7" s="1"/>
  <c r="G60" i="7"/>
  <c r="H60" i="7"/>
  <c r="I60" i="7"/>
  <c r="J60" i="7"/>
  <c r="F60" i="7"/>
  <c r="D225" i="7"/>
  <c r="D188" i="7"/>
  <c r="J149" i="7" s="1"/>
  <c r="K146" i="7" s="1"/>
  <c r="L51" i="3" a="1"/>
  <c r="L51" i="3" s="1"/>
  <c r="K51" i="3" a="1"/>
  <c r="K51" i="3" s="1"/>
  <c r="J51" i="3" a="1"/>
  <c r="J51" i="3" s="1"/>
  <c r="I51" i="3" a="1"/>
  <c r="I51" i="3" s="1"/>
  <c r="H51" i="3" a="1"/>
  <c r="H51" i="3" s="1"/>
  <c r="G51" i="3" a="1"/>
  <c r="G51" i="3" s="1"/>
  <c r="K314" i="7" l="1"/>
  <c r="L314" i="7" s="1"/>
  <c r="K359" i="7"/>
  <c r="L359" i="7" s="1"/>
  <c r="L307" i="7"/>
  <c r="L310" i="7" s="1"/>
  <c r="M352" i="7"/>
  <c r="M355" i="7" s="1"/>
  <c r="K307" i="7"/>
  <c r="K310" i="7" s="1"/>
  <c r="G62" i="7"/>
  <c r="H62" i="7"/>
  <c r="I62" i="7"/>
  <c r="J62" i="7"/>
  <c r="G57" i="7"/>
  <c r="H57" i="7"/>
  <c r="I57" i="7"/>
  <c r="J57" i="7"/>
  <c r="F57" i="7"/>
  <c r="M219" i="7"/>
  <c r="N219" i="7"/>
  <c r="O219" i="7"/>
  <c r="N182" i="7"/>
  <c r="O182" i="7"/>
  <c r="L219" i="7"/>
  <c r="K219" i="7"/>
  <c r="J207" i="7"/>
  <c r="K204" i="7" s="1"/>
  <c r="M182" i="7"/>
  <c r="L182" i="7"/>
  <c r="K182" i="7"/>
  <c r="K163" i="7"/>
  <c r="L163" i="7"/>
  <c r="M163" i="7"/>
  <c r="N163" i="7"/>
  <c r="O163" i="7"/>
  <c r="K164" i="7"/>
  <c r="L164" i="7"/>
  <c r="M164" i="7"/>
  <c r="N164" i="7"/>
  <c r="O164" i="7"/>
  <c r="L162" i="7"/>
  <c r="M162" i="7"/>
  <c r="N162" i="7"/>
  <c r="O162" i="7"/>
  <c r="K162" i="7"/>
  <c r="G167" i="7"/>
  <c r="H167" i="7"/>
  <c r="I167" i="7"/>
  <c r="J167" i="7"/>
  <c r="G168" i="7"/>
  <c r="H168" i="7"/>
  <c r="I168" i="7"/>
  <c r="J168" i="7"/>
  <c r="G169" i="7"/>
  <c r="G173" i="7" s="1"/>
  <c r="H169" i="7"/>
  <c r="H173" i="7" s="1"/>
  <c r="I169" i="7"/>
  <c r="J169" i="7"/>
  <c r="J173" i="7" s="1"/>
  <c r="F169" i="7"/>
  <c r="F173" i="7" s="1"/>
  <c r="F168" i="7"/>
  <c r="F167" i="7"/>
  <c r="K154" i="7"/>
  <c r="L154" i="7"/>
  <c r="M154" i="7"/>
  <c r="N154" i="7"/>
  <c r="O154" i="7"/>
  <c r="P154" i="7"/>
  <c r="J143" i="7"/>
  <c r="K140" i="7" s="1"/>
  <c r="O130" i="7"/>
  <c r="N130" i="7"/>
  <c r="M130" i="7"/>
  <c r="L130" i="7"/>
  <c r="K130" i="7"/>
  <c r="P84" i="7"/>
  <c r="G54" i="7"/>
  <c r="H54" i="7"/>
  <c r="I54" i="7"/>
  <c r="J54" i="7"/>
  <c r="F54" i="7"/>
  <c r="K93" i="7"/>
  <c r="I107" i="7"/>
  <c r="I106" i="7"/>
  <c r="I105" i="7"/>
  <c r="I104" i="7"/>
  <c r="I103" i="7"/>
  <c r="G40" i="3" a="1"/>
  <c r="G40" i="3" s="1"/>
  <c r="K87" i="7" s="1"/>
  <c r="G88" i="7"/>
  <c r="H88" i="7"/>
  <c r="I88" i="7"/>
  <c r="J88" i="7"/>
  <c r="F88" i="7"/>
  <c r="O84" i="7"/>
  <c r="H107" i="7" s="1"/>
  <c r="N84" i="7"/>
  <c r="H106" i="7" s="1"/>
  <c r="M84" i="7"/>
  <c r="H105" i="7" s="1"/>
  <c r="L84" i="7"/>
  <c r="H104" i="7" s="1"/>
  <c r="K84" i="7"/>
  <c r="H103" i="7" s="1"/>
  <c r="K107" i="7"/>
  <c r="K106" i="7"/>
  <c r="L107" i="7" s="1"/>
  <c r="K105" i="7"/>
  <c r="L106" i="7" s="1"/>
  <c r="M107" i="7" s="1"/>
  <c r="K104" i="7"/>
  <c r="L105" i="7" s="1"/>
  <c r="M106" i="7" s="1"/>
  <c r="N107" i="7" s="1"/>
  <c r="K99" i="7"/>
  <c r="K103" i="7" s="1"/>
  <c r="L104" i="7" s="1"/>
  <c r="M105" i="7" s="1"/>
  <c r="N106" i="7" s="1"/>
  <c r="O107" i="7" s="1"/>
  <c r="L98" i="7"/>
  <c r="M98" i="7" s="1"/>
  <c r="N98" i="7" s="1"/>
  <c r="O98" i="7" s="1"/>
  <c r="L92" i="7"/>
  <c r="M92" i="7" s="1"/>
  <c r="N92" i="7" s="1"/>
  <c r="O92" i="7" s="1"/>
  <c r="L34" i="3" a="1"/>
  <c r="L34" i="3" s="1"/>
  <c r="P79" i="7" s="1"/>
  <c r="K34" i="3" a="1"/>
  <c r="K34" i="3" s="1"/>
  <c r="O79" i="7" s="1"/>
  <c r="J34" i="3" a="1"/>
  <c r="J34" i="3" s="1"/>
  <c r="N79" i="7" s="1"/>
  <c r="I34" i="3" a="1"/>
  <c r="I34" i="3" s="1"/>
  <c r="M79" i="7" s="1"/>
  <c r="H34" i="3" a="1"/>
  <c r="H34" i="3" s="1"/>
  <c r="L79" i="7" s="1"/>
  <c r="G34" i="3" a="1"/>
  <c r="G34" i="3" s="1"/>
  <c r="K79" i="7" s="1"/>
  <c r="L28" i="3" a="1"/>
  <c r="L28" i="3" s="1"/>
  <c r="P76" i="7" s="1"/>
  <c r="K28" i="3" a="1"/>
  <c r="K28" i="3" s="1"/>
  <c r="O76" i="7" s="1"/>
  <c r="J28" i="3" a="1"/>
  <c r="J28" i="3" s="1"/>
  <c r="N76" i="7" s="1"/>
  <c r="I28" i="3" a="1"/>
  <c r="I28" i="3" s="1"/>
  <c r="M76" i="7" s="1"/>
  <c r="H28" i="3" a="1"/>
  <c r="H28" i="3" s="1"/>
  <c r="L76" i="7" s="1"/>
  <c r="G28" i="3" a="1"/>
  <c r="G28" i="3" s="1"/>
  <c r="K76" i="7" s="1"/>
  <c r="H40" i="3" a="1"/>
  <c r="H40" i="3" s="1"/>
  <c r="L87" i="7" s="1"/>
  <c r="I40" i="3" a="1"/>
  <c r="I40" i="3" s="1"/>
  <c r="M87" i="7" s="1"/>
  <c r="J40" i="3" a="1"/>
  <c r="J40" i="3" s="1"/>
  <c r="N87" i="7" s="1"/>
  <c r="K40" i="3" a="1"/>
  <c r="K40" i="3" s="1"/>
  <c r="O87" i="7" s="1"/>
  <c r="L40" i="3" a="1"/>
  <c r="L40" i="3" s="1"/>
  <c r="P87" i="7" s="1"/>
  <c r="P162" i="7"/>
  <c r="P163" i="7"/>
  <c r="L49" i="3"/>
  <c r="P164" i="7" s="1"/>
  <c r="M314" i="7" l="1"/>
  <c r="G36" i="9"/>
  <c r="O25" i="9" s="1"/>
  <c r="O36" i="9" s="1"/>
  <c r="F32" i="9"/>
  <c r="N21" i="9" s="1"/>
  <c r="N32" i="9" s="1"/>
  <c r="D32" i="9"/>
  <c r="L21" i="9" s="1"/>
  <c r="L32" i="9" s="1"/>
  <c r="D34" i="9"/>
  <c r="L23" i="9" s="1"/>
  <c r="L34" i="9" s="1"/>
  <c r="H36" i="9"/>
  <c r="P25" i="9" s="1"/>
  <c r="P36" i="9" s="1"/>
  <c r="G33" i="9"/>
  <c r="O22" i="9" s="1"/>
  <c r="O33" i="9" s="1"/>
  <c r="E35" i="9"/>
  <c r="M24" i="9" s="1"/>
  <c r="M35" i="9" s="1"/>
  <c r="G35" i="9"/>
  <c r="O24" i="9" s="1"/>
  <c r="O35" i="9" s="1"/>
  <c r="G32" i="9"/>
  <c r="E36" i="9"/>
  <c r="M25" i="9" s="1"/>
  <c r="M36" i="9" s="1"/>
  <c r="E34" i="9"/>
  <c r="M23" i="9" s="1"/>
  <c r="M34" i="9" s="1"/>
  <c r="E33" i="9"/>
  <c r="M22" i="9" s="1"/>
  <c r="M33" i="9" s="1"/>
  <c r="H35" i="9"/>
  <c r="P24" i="9" s="1"/>
  <c r="P35" i="9" s="1"/>
  <c r="H34" i="9"/>
  <c r="P23" i="9" s="1"/>
  <c r="P34" i="9" s="1"/>
  <c r="D33" i="9"/>
  <c r="L22" i="9" s="1"/>
  <c r="L33" i="9" s="1"/>
  <c r="G34" i="9"/>
  <c r="O23" i="9" s="1"/>
  <c r="O34" i="9" s="1"/>
  <c r="D35" i="9"/>
  <c r="L24" i="9" s="1"/>
  <c r="L35" i="9" s="1"/>
  <c r="H32" i="9"/>
  <c r="P21" i="9" s="1"/>
  <c r="P32" i="9" s="1"/>
  <c r="F36" i="9"/>
  <c r="N25" i="9" s="1"/>
  <c r="N36" i="9" s="1"/>
  <c r="E32" i="9"/>
  <c r="M21" i="9" s="1"/>
  <c r="M32" i="9" s="1"/>
  <c r="F33" i="9"/>
  <c r="N22" i="9" s="1"/>
  <c r="N33" i="9" s="1"/>
  <c r="H33" i="9"/>
  <c r="P22" i="9" s="1"/>
  <c r="P33" i="9" s="1"/>
  <c r="F34" i="9"/>
  <c r="D36" i="9"/>
  <c r="L25" i="9" s="1"/>
  <c r="L36" i="9" s="1"/>
  <c r="F35" i="9"/>
  <c r="N24" i="9" s="1"/>
  <c r="N35" i="9" s="1"/>
  <c r="M359" i="7"/>
  <c r="M307" i="7"/>
  <c r="M310" i="7" s="1"/>
  <c r="N352" i="7"/>
  <c r="N355" i="7" s="1"/>
  <c r="G172" i="7"/>
  <c r="G174" i="7" s="1"/>
  <c r="I172" i="7"/>
  <c r="I173" i="7"/>
  <c r="H172" i="7"/>
  <c r="H174" i="7" s="1"/>
  <c r="F172" i="7"/>
  <c r="F174" i="7" s="1"/>
  <c r="F177" i="7" s="1"/>
  <c r="J172" i="7"/>
  <c r="J174" i="7" s="1"/>
  <c r="M102" i="7"/>
  <c r="M110" i="7" s="1"/>
  <c r="L102" i="7"/>
  <c r="L110" i="7" s="1"/>
  <c r="K102" i="7"/>
  <c r="K110" i="7" s="1"/>
  <c r="O102" i="7"/>
  <c r="O110" i="7" s="1"/>
  <c r="K119" i="7"/>
  <c r="L99" i="7"/>
  <c r="M99" i="7" s="1"/>
  <c r="N99" i="7" s="1"/>
  <c r="O99" i="7" s="1"/>
  <c r="N102" i="7"/>
  <c r="N110" i="7" s="1"/>
  <c r="L93" i="7"/>
  <c r="L119" i="7" s="1"/>
  <c r="O21" i="9" l="1"/>
  <c r="O32" i="9" s="1"/>
  <c r="N314" i="7"/>
  <c r="N23" i="9"/>
  <c r="N359" i="7"/>
  <c r="N307" i="7"/>
  <c r="N310" i="7" s="1"/>
  <c r="I174" i="7"/>
  <c r="I177" i="7" s="1"/>
  <c r="H177" i="7"/>
  <c r="G177" i="7"/>
  <c r="L103" i="7"/>
  <c r="M104" i="7" s="1"/>
  <c r="N105" i="7" s="1"/>
  <c r="O106" i="7" s="1"/>
  <c r="M93" i="7"/>
  <c r="O314" i="7" l="1"/>
  <c r="O352" i="7"/>
  <c r="O355" i="7" s="1"/>
  <c r="H349" i="7"/>
  <c r="N34" i="9"/>
  <c r="O359" i="7"/>
  <c r="P359" i="7" s="1"/>
  <c r="O307" i="7"/>
  <c r="J177" i="7"/>
  <c r="M119" i="7"/>
  <c r="N93" i="7"/>
  <c r="M103" i="7"/>
  <c r="P352" i="7" l="1"/>
  <c r="N119" i="7"/>
  <c r="O93" i="7"/>
  <c r="O103" i="7"/>
  <c r="N103" i="7"/>
  <c r="N104" i="7"/>
  <c r="O119" i="7" l="1"/>
  <c r="O105" i="7"/>
  <c r="O104" i="7"/>
  <c r="B78" i="7" l="1"/>
  <c r="B75" i="7"/>
  <c r="P69" i="7"/>
  <c r="O69" i="7"/>
  <c r="N69" i="7"/>
  <c r="M69" i="7"/>
  <c r="L69" i="7"/>
  <c r="K69" i="7"/>
  <c r="F51" i="7"/>
  <c r="F78" i="7" s="1"/>
  <c r="J51" i="7"/>
  <c r="I51" i="7"/>
  <c r="H51" i="7"/>
  <c r="H78" i="7" s="1"/>
  <c r="G51" i="7"/>
  <c r="G78" i="7" s="1"/>
  <c r="J50" i="7"/>
  <c r="J75" i="7" s="1"/>
  <c r="I50" i="7"/>
  <c r="I75" i="7" s="1"/>
  <c r="H50" i="7"/>
  <c r="H75" i="7" s="1"/>
  <c r="G50" i="7"/>
  <c r="G75" i="7" s="1"/>
  <c r="F50" i="7"/>
  <c r="F75" i="7" s="1"/>
  <c r="O27" i="7"/>
  <c r="P27" i="7"/>
  <c r="O43" i="7"/>
  <c r="O256" i="7" s="1"/>
  <c r="P43" i="7"/>
  <c r="P256" i="7" s="1"/>
  <c r="F62" i="7"/>
  <c r="J78" i="7" l="1"/>
  <c r="I78" i="7"/>
  <c r="J33" i="7" l="1"/>
  <c r="I33" i="7"/>
  <c r="H33" i="7"/>
  <c r="G33" i="7"/>
  <c r="F33" i="7"/>
  <c r="K27" i="7"/>
  <c r="L27" i="7"/>
  <c r="M27" i="7"/>
  <c r="N27" i="7"/>
  <c r="G47" i="7"/>
  <c r="H47" i="7"/>
  <c r="I47" i="7"/>
  <c r="J47" i="7"/>
  <c r="F47" i="7"/>
  <c r="L22" i="3" a="1"/>
  <c r="L22" i="3" s="1"/>
  <c r="P34" i="7" s="1"/>
  <c r="P38" i="7" s="1"/>
  <c r="P37" i="7" s="1"/>
  <c r="K22" i="3" a="1"/>
  <c r="K22" i="3" s="1"/>
  <c r="O34" i="7" s="1"/>
  <c r="O38" i="7" s="1"/>
  <c r="O37" i="7" s="1"/>
  <c r="J22" i="3" a="1"/>
  <c r="J22" i="3" s="1"/>
  <c r="N34" i="7" s="1"/>
  <c r="N38" i="7" s="1"/>
  <c r="N37" i="7" s="1"/>
  <c r="I22" i="3" a="1"/>
  <c r="I22" i="3" s="1"/>
  <c r="M34" i="7" s="1"/>
  <c r="M38" i="7" s="1"/>
  <c r="M37" i="7" s="1"/>
  <c r="H22" i="3" a="1"/>
  <c r="H22" i="3" s="1"/>
  <c r="L34" i="7" s="1"/>
  <c r="L38" i="7" s="1"/>
  <c r="L37" i="7" s="1"/>
  <c r="G22" i="3" a="1"/>
  <c r="G22" i="3" s="1"/>
  <c r="K34" i="7" s="1"/>
  <c r="K38" i="7" s="1"/>
  <c r="K37" i="7" s="1"/>
  <c r="L80" i="3"/>
  <c r="L86" i="3" s="1"/>
  <c r="H52" i="7" l="1"/>
  <c r="H55" i="7" s="1"/>
  <c r="H159" i="7"/>
  <c r="G52" i="7"/>
  <c r="G55" i="7" s="1"/>
  <c r="G159" i="7"/>
  <c r="F52" i="7"/>
  <c r="F55" i="7" s="1"/>
  <c r="F58" i="7" s="1"/>
  <c r="F64" i="7" s="1"/>
  <c r="F159" i="7"/>
  <c r="J52" i="7"/>
  <c r="J55" i="7" s="1"/>
  <c r="J159" i="7"/>
  <c r="I52" i="7"/>
  <c r="I55" i="7" s="1"/>
  <c r="I159" i="7"/>
  <c r="B12" i="3"/>
  <c r="B13" i="3"/>
  <c r="B6" i="7" s="1" a="1"/>
  <c r="B6" i="7" s="1"/>
  <c r="B14" i="3"/>
  <c r="G10" i="3" a="1"/>
  <c r="G10" i="3" s="1"/>
  <c r="K12" i="7" s="1"/>
  <c r="G20" i="7"/>
  <c r="H20" i="7"/>
  <c r="I20" i="7"/>
  <c r="J20" i="7"/>
  <c r="G21" i="7"/>
  <c r="H21" i="7"/>
  <c r="I21" i="7"/>
  <c r="J21" i="7"/>
  <c r="F21" i="7"/>
  <c r="F20" i="7"/>
  <c r="J15" i="7"/>
  <c r="I15" i="7"/>
  <c r="H15" i="7"/>
  <c r="G15" i="7"/>
  <c r="H12" i="7"/>
  <c r="I12" i="7"/>
  <c r="J12" i="7"/>
  <c r="G12" i="7"/>
  <c r="F5" i="7"/>
  <c r="F27" i="7" s="1"/>
  <c r="G5" i="7"/>
  <c r="H5" i="7"/>
  <c r="I5" i="7"/>
  <c r="J5" i="7"/>
  <c r="K43" i="7"/>
  <c r="K256" i="7" s="1"/>
  <c r="L43" i="7"/>
  <c r="L256" i="7" s="1"/>
  <c r="M43" i="7"/>
  <c r="M256" i="7" s="1"/>
  <c r="N43" i="7"/>
  <c r="N256" i="7" s="1"/>
  <c r="G5" i="3"/>
  <c r="H5" i="3"/>
  <c r="I5" i="3"/>
  <c r="J5" i="3"/>
  <c r="K5" i="3"/>
  <c r="L5" i="3"/>
  <c r="I10" i="3" a="1"/>
  <c r="I10" i="3" s="1"/>
  <c r="M12" i="7" s="1"/>
  <c r="H10" i="3" a="1"/>
  <c r="H10" i="3" s="1"/>
  <c r="L12" i="7" s="1"/>
  <c r="J10" i="3" a="1"/>
  <c r="J10" i="3" s="1"/>
  <c r="N12" i="7" s="1"/>
  <c r="K10" i="3" a="1"/>
  <c r="K10" i="3" s="1"/>
  <c r="O12" i="7" s="1"/>
  <c r="G16" i="3" a="1"/>
  <c r="G16" i="3" s="1"/>
  <c r="K15" i="7" s="1"/>
  <c r="K16" i="7" s="1"/>
  <c r="H16" i="3" a="1"/>
  <c r="H16" i="3" s="1"/>
  <c r="L15" i="7" s="1"/>
  <c r="L16" i="3" a="1"/>
  <c r="L16" i="3" s="1"/>
  <c r="P15" i="7" s="1"/>
  <c r="I65" i="3"/>
  <c r="L65" i="3" s="1"/>
  <c r="J65" i="3"/>
  <c r="I66" i="3"/>
  <c r="L66" i="3" s="1"/>
  <c r="J66" i="3"/>
  <c r="I67" i="3"/>
  <c r="L67" i="3" s="1"/>
  <c r="J67" i="3"/>
  <c r="I68" i="3"/>
  <c r="L68" i="3" s="1"/>
  <c r="J68" i="3"/>
  <c r="I69" i="3"/>
  <c r="L69" i="3" s="1"/>
  <c r="J69" i="3"/>
  <c r="I70" i="3"/>
  <c r="L70" i="3" s="1"/>
  <c r="J70" i="3"/>
  <c r="H72" i="3"/>
  <c r="K72" i="3"/>
  <c r="H73" i="3"/>
  <c r="K73" i="3"/>
  <c r="F81" i="3"/>
  <c r="L87" i="3" s="1"/>
  <c r="E88" i="3"/>
  <c r="F86" i="3" s="1"/>
  <c r="B338" i="7" l="1"/>
  <c r="J58" i="7"/>
  <c r="J64" i="7" s="1"/>
  <c r="G58" i="7"/>
  <c r="G64" i="7" s="1"/>
  <c r="I58" i="7"/>
  <c r="I64" i="7" s="1"/>
  <c r="H58" i="7"/>
  <c r="H64" i="7" s="1"/>
  <c r="B38" i="3"/>
  <c r="B55" i="3"/>
  <c r="B37" i="3"/>
  <c r="B54" i="3"/>
  <c r="B36" i="3"/>
  <c r="B53" i="3"/>
  <c r="F164" i="7"/>
  <c r="F163" i="7"/>
  <c r="G163" i="7"/>
  <c r="G164" i="7"/>
  <c r="J163" i="7"/>
  <c r="J164" i="7"/>
  <c r="I164" i="7"/>
  <c r="I163" i="7"/>
  <c r="H164" i="7"/>
  <c r="H163" i="7"/>
  <c r="J154" i="7"/>
  <c r="H154" i="7"/>
  <c r="I154" i="7"/>
  <c r="G84" i="7"/>
  <c r="G154" i="7"/>
  <c r="F84" i="7"/>
  <c r="F154" i="7"/>
  <c r="J130" i="7"/>
  <c r="J84" i="7"/>
  <c r="I84" i="7"/>
  <c r="H84" i="7"/>
  <c r="H111" i="7"/>
  <c r="F69" i="7"/>
  <c r="J27" i="7"/>
  <c r="J69" i="7"/>
  <c r="I27" i="7"/>
  <c r="I69" i="7"/>
  <c r="H27" i="7"/>
  <c r="H69" i="7"/>
  <c r="G27" i="7"/>
  <c r="G69" i="7"/>
  <c r="B44" i="3"/>
  <c r="B32" i="3"/>
  <c r="B43" i="3"/>
  <c r="B31" i="3"/>
  <c r="B42" i="3"/>
  <c r="B30" i="3"/>
  <c r="F43" i="7"/>
  <c r="F22" i="7"/>
  <c r="F30" i="7" s="1"/>
  <c r="B26" i="3"/>
  <c r="B24" i="3"/>
  <c r="B19" i="3"/>
  <c r="B25" i="3"/>
  <c r="L72" i="3"/>
  <c r="L73" i="3"/>
  <c r="F87" i="3"/>
  <c r="K87" i="3" s="1"/>
  <c r="B18" i="3"/>
  <c r="L16" i="7"/>
  <c r="L21" i="7" s="1"/>
  <c r="J22" i="7"/>
  <c r="J30" i="7" s="1"/>
  <c r="J34" i="7" s="1"/>
  <c r="J38" i="7" s="1"/>
  <c r="J37" i="7" s="1"/>
  <c r="I22" i="7"/>
  <c r="I30" i="7" s="1"/>
  <c r="I34" i="7" s="1"/>
  <c r="I38" i="7" s="1"/>
  <c r="I37" i="7" s="1"/>
  <c r="H22" i="7"/>
  <c r="H30" i="7" s="1"/>
  <c r="H34" i="7" s="1"/>
  <c r="H38" i="7" s="1"/>
  <c r="H37" i="7" s="1"/>
  <c r="G22" i="7"/>
  <c r="G30" i="7" s="1"/>
  <c r="G34" i="7" s="1"/>
  <c r="G38" i="7" s="1"/>
  <c r="G37" i="7" s="1"/>
  <c r="K21" i="7"/>
  <c r="H43" i="7"/>
  <c r="G43" i="7"/>
  <c r="I43" i="7"/>
  <c r="K16" i="3" a="1"/>
  <c r="K16" i="3" s="1"/>
  <c r="O15" i="7" s="1"/>
  <c r="J16" i="3" a="1"/>
  <c r="J16" i="3" s="1"/>
  <c r="N15" i="7" s="1"/>
  <c r="L10" i="3" a="1"/>
  <c r="L10" i="3" s="1"/>
  <c r="P12" i="7" s="1"/>
  <c r="I16" i="3" a="1"/>
  <c r="I16" i="3" s="1"/>
  <c r="M15" i="7" s="1"/>
  <c r="I72" i="3"/>
  <c r="I73" i="3"/>
  <c r="J73" i="3"/>
  <c r="J72" i="3"/>
  <c r="K86" i="3"/>
  <c r="B20" i="3"/>
  <c r="J43" i="7"/>
  <c r="K13" i="7"/>
  <c r="K20" i="7" s="1"/>
  <c r="B44" i="7" l="1"/>
  <c r="B131" i="7"/>
  <c r="B70" i="7"/>
  <c r="B28" i="7"/>
  <c r="B220" i="7"/>
  <c r="B183" i="7"/>
  <c r="B85" i="7"/>
  <c r="B155" i="7"/>
  <c r="L90" i="3"/>
  <c r="F111" i="3" s="1"/>
  <c r="H112" i="7"/>
  <c r="G31" i="7"/>
  <c r="J31" i="7"/>
  <c r="H31" i="7"/>
  <c r="I31" i="7"/>
  <c r="H46" i="7"/>
  <c r="G46" i="7"/>
  <c r="F46" i="7"/>
  <c r="I46" i="7"/>
  <c r="I158" i="7" s="1"/>
  <c r="I162" i="7" s="1"/>
  <c r="J46" i="7"/>
  <c r="J158" i="7" s="1"/>
  <c r="J162" i="7" s="1"/>
  <c r="F90" i="3"/>
  <c r="F88" i="3"/>
  <c r="M16" i="7"/>
  <c r="N16" i="7" s="1"/>
  <c r="O16" i="7" s="1"/>
  <c r="K22" i="7"/>
  <c r="K30" i="7" s="1"/>
  <c r="L13" i="7"/>
  <c r="L20" i="7" s="1"/>
  <c r="L22" i="7" s="1"/>
  <c r="L30" i="7" s="1"/>
  <c r="O11" i="9" l="1"/>
  <c r="H87" i="7"/>
  <c r="H158" i="7"/>
  <c r="H162" i="7" s="1"/>
  <c r="F87" i="7"/>
  <c r="F158" i="7"/>
  <c r="F162" i="7" s="1"/>
  <c r="G87" i="7"/>
  <c r="G158" i="7"/>
  <c r="G162" i="7" s="1"/>
  <c r="J72" i="7"/>
  <c r="J76" i="7" s="1"/>
  <c r="J87" i="7"/>
  <c r="I72" i="7"/>
  <c r="I76" i="7" s="1"/>
  <c r="I87" i="7"/>
  <c r="H113" i="7"/>
  <c r="H48" i="7"/>
  <c r="H72" i="7"/>
  <c r="F48" i="7"/>
  <c r="F72" i="7"/>
  <c r="G48" i="7"/>
  <c r="G72" i="7"/>
  <c r="P16" i="7"/>
  <c r="P21" i="7" s="1"/>
  <c r="O21" i="7"/>
  <c r="L33" i="7"/>
  <c r="K31" i="7"/>
  <c r="K36" i="7" s="1"/>
  <c r="K47" i="7" s="1"/>
  <c r="K159" i="7" s="1"/>
  <c r="K33" i="7"/>
  <c r="J36" i="7"/>
  <c r="I36" i="7"/>
  <c r="H36" i="7"/>
  <c r="G36" i="7"/>
  <c r="L31" i="7"/>
  <c r="L46" i="7"/>
  <c r="K46" i="7"/>
  <c r="M21" i="7"/>
  <c r="N21" i="7"/>
  <c r="M13" i="7"/>
  <c r="M20" i="7" s="1"/>
  <c r="C296" i="7" l="1"/>
  <c r="O48" i="9"/>
  <c r="C341" i="7" s="1"/>
  <c r="N362" i="7" s="1"/>
  <c r="F112" i="3"/>
  <c r="M17" i="8" s="1"/>
  <c r="C60" i="9"/>
  <c r="C23" i="9"/>
  <c r="K158" i="7"/>
  <c r="K57" i="7"/>
  <c r="K279" i="7" s="1"/>
  <c r="L158" i="7"/>
  <c r="L57" i="7"/>
  <c r="L279" i="7" s="1"/>
  <c r="J79" i="7"/>
  <c r="I79" i="7"/>
  <c r="K72" i="7"/>
  <c r="K75" i="7" s="1"/>
  <c r="K50" i="7" s="1"/>
  <c r="K88" i="7"/>
  <c r="L72" i="7"/>
  <c r="L78" i="7" s="1"/>
  <c r="L51" i="7" s="1"/>
  <c r="L88" i="7"/>
  <c r="H114" i="7"/>
  <c r="H115" i="7"/>
  <c r="F76" i="7"/>
  <c r="F79" i="7"/>
  <c r="G76" i="7"/>
  <c r="G79" i="7"/>
  <c r="H76" i="7"/>
  <c r="H79" i="7"/>
  <c r="L36" i="7"/>
  <c r="L47" i="7" s="1"/>
  <c r="L159" i="7" s="1"/>
  <c r="M22" i="7"/>
  <c r="M30" i="7" s="1"/>
  <c r="I48" i="7"/>
  <c r="N13" i="7"/>
  <c r="N317" i="7" l="1"/>
  <c r="K317" i="7"/>
  <c r="L317" i="7"/>
  <c r="M317" i="7"/>
  <c r="L362" i="7"/>
  <c r="M362" i="7"/>
  <c r="K362" i="7"/>
  <c r="O362" i="7"/>
  <c r="C22" i="9"/>
  <c r="K23" i="9"/>
  <c r="C34" i="9" s="1"/>
  <c r="K34" i="9" s="1"/>
  <c r="C24" i="9"/>
  <c r="K60" i="9"/>
  <c r="C59" i="9"/>
  <c r="C61" i="9"/>
  <c r="C71" i="9"/>
  <c r="K71" i="9" s="1"/>
  <c r="L133" i="7"/>
  <c r="L147" i="7" s="1"/>
  <c r="L270" i="7"/>
  <c r="L281" i="7" s="1"/>
  <c r="K133" i="7"/>
  <c r="K147" i="7" s="1"/>
  <c r="K148" i="7" s="1"/>
  <c r="K149" i="7" s="1"/>
  <c r="L146" i="7" s="1"/>
  <c r="K270" i="7"/>
  <c r="K281" i="7" s="1"/>
  <c r="L75" i="7"/>
  <c r="L50" i="7" s="1"/>
  <c r="L52" i="7" s="1"/>
  <c r="L268" i="7" s="1"/>
  <c r="K78" i="7"/>
  <c r="K51" i="7" s="1"/>
  <c r="I112" i="7"/>
  <c r="J112" i="7" s="1"/>
  <c r="M112" i="7" s="1"/>
  <c r="I111" i="7"/>
  <c r="J111" i="7" s="1"/>
  <c r="K111" i="7" s="1"/>
  <c r="N20" i="7"/>
  <c r="N22" i="7" s="1"/>
  <c r="N30" i="7" s="1"/>
  <c r="O13" i="7"/>
  <c r="M31" i="7"/>
  <c r="M36" i="7" s="1"/>
  <c r="M47" i="7" s="1"/>
  <c r="M159" i="7" s="1"/>
  <c r="M33" i="7"/>
  <c r="M46" i="7"/>
  <c r="J48" i="7"/>
  <c r="C62" i="9" l="1"/>
  <c r="C72" i="9"/>
  <c r="K72" i="9" s="1"/>
  <c r="K61" i="9"/>
  <c r="C58" i="9"/>
  <c r="C70" i="9"/>
  <c r="K70" i="9" s="1"/>
  <c r="K59" i="9"/>
  <c r="C25" i="9"/>
  <c r="K25" i="9" s="1"/>
  <c r="C36" i="9" s="1"/>
  <c r="K36" i="9" s="1"/>
  <c r="K24" i="9"/>
  <c r="C35" i="9" s="1"/>
  <c r="K35" i="9" s="1"/>
  <c r="C21" i="9"/>
  <c r="K21" i="9" s="1"/>
  <c r="C32" i="9" s="1"/>
  <c r="K32" i="9" s="1"/>
  <c r="K22" i="9"/>
  <c r="C33" i="9" s="1"/>
  <c r="K33" i="9" s="1"/>
  <c r="K141" i="7"/>
  <c r="L141" i="7"/>
  <c r="K195" i="7"/>
  <c r="K232" i="7"/>
  <c r="L148" i="7"/>
  <c r="L149" i="7" s="1"/>
  <c r="M146" i="7" s="1"/>
  <c r="M158" i="7"/>
  <c r="M57" i="7"/>
  <c r="M279" i="7" s="1"/>
  <c r="K52" i="7"/>
  <c r="K268" i="7" s="1"/>
  <c r="M111" i="7"/>
  <c r="O111" i="7"/>
  <c r="N111" i="7"/>
  <c r="N112" i="7"/>
  <c r="L112" i="7"/>
  <c r="O112" i="7"/>
  <c r="K112" i="7"/>
  <c r="L111" i="7"/>
  <c r="M72" i="7"/>
  <c r="M78" i="7" s="1"/>
  <c r="M51" i="7" s="1"/>
  <c r="M88" i="7"/>
  <c r="O20" i="7"/>
  <c r="O22" i="7" s="1"/>
  <c r="P13" i="7"/>
  <c r="P20" i="7" s="1"/>
  <c r="P22" i="7" s="1"/>
  <c r="M48" i="7"/>
  <c r="N31" i="7"/>
  <c r="N36" i="7" s="1"/>
  <c r="N47" i="7" s="1"/>
  <c r="N159" i="7" s="1"/>
  <c r="N33" i="7"/>
  <c r="N46" i="7"/>
  <c r="K48" i="7"/>
  <c r="C69" i="9" l="1"/>
  <c r="K69" i="9" s="1"/>
  <c r="K58" i="9"/>
  <c r="K62" i="9"/>
  <c r="C73" i="9"/>
  <c r="K73" i="9" s="1"/>
  <c r="M133" i="7"/>
  <c r="M147" i="7" s="1"/>
  <c r="M270" i="7"/>
  <c r="M281" i="7" s="1"/>
  <c r="L195" i="7"/>
  <c r="L232" i="7"/>
  <c r="N158" i="7"/>
  <c r="N57" i="7"/>
  <c r="N279" i="7" s="1"/>
  <c r="M75" i="7"/>
  <c r="M50" i="7" s="1"/>
  <c r="M52" i="7" s="1"/>
  <c r="M268" i="7" s="1"/>
  <c r="I113" i="7"/>
  <c r="J113" i="7" s="1"/>
  <c r="K113" i="7" s="1"/>
  <c r="N72" i="7"/>
  <c r="N75" i="7" s="1"/>
  <c r="N50" i="7" s="1"/>
  <c r="N88" i="7"/>
  <c r="N270" i="7" s="1"/>
  <c r="N281" i="7" s="1"/>
  <c r="P30" i="7"/>
  <c r="P46" i="7"/>
  <c r="O30" i="7"/>
  <c r="O46" i="7"/>
  <c r="N48" i="7"/>
  <c r="L48" i="7"/>
  <c r="M141" i="7" l="1"/>
  <c r="M148" i="7"/>
  <c r="M232" i="7" s="1"/>
  <c r="O158" i="7"/>
  <c r="O57" i="7"/>
  <c r="O279" i="7" s="1"/>
  <c r="P158" i="7"/>
  <c r="P57" i="7"/>
  <c r="P279" i="7" s="1"/>
  <c r="N78" i="7"/>
  <c r="N51" i="7" s="1"/>
  <c r="N52" i="7" s="1"/>
  <c r="N268" i="7" s="1"/>
  <c r="I114" i="7"/>
  <c r="J114" i="7" s="1"/>
  <c r="L114" i="7" s="1"/>
  <c r="N133" i="7"/>
  <c r="L113" i="7"/>
  <c r="N113" i="7"/>
  <c r="M113" i="7"/>
  <c r="P72" i="7"/>
  <c r="P78" i="7" s="1"/>
  <c r="P51" i="7" s="1"/>
  <c r="P88" i="7"/>
  <c r="P270" i="7" s="1"/>
  <c r="P281" i="7" s="1"/>
  <c r="O113" i="7"/>
  <c r="O72" i="7"/>
  <c r="O78" i="7" s="1"/>
  <c r="O51" i="7" s="1"/>
  <c r="O88" i="7"/>
  <c r="O270" i="7" s="1"/>
  <c r="O281" i="7" s="1"/>
  <c r="O31" i="7"/>
  <c r="O36" i="7" s="1"/>
  <c r="O47" i="7"/>
  <c r="O159" i="7" s="1"/>
  <c r="O33" i="7"/>
  <c r="P31" i="7"/>
  <c r="P36" i="7" s="1"/>
  <c r="P47" i="7"/>
  <c r="P159" i="7" s="1"/>
  <c r="P33" i="7"/>
  <c r="M195" i="7" l="1"/>
  <c r="M149" i="7"/>
  <c r="N146" i="7" s="1"/>
  <c r="N141" i="7"/>
  <c r="N147" i="7"/>
  <c r="O114" i="7"/>
  <c r="M114" i="7"/>
  <c r="N114" i="7"/>
  <c r="K114" i="7"/>
  <c r="P54" i="7"/>
  <c r="P277" i="7" s="1"/>
  <c r="I115" i="7"/>
  <c r="J115" i="7" s="1"/>
  <c r="N115" i="7" s="1"/>
  <c r="O133" i="7"/>
  <c r="P75" i="7"/>
  <c r="P50" i="7" s="1"/>
  <c r="P52" i="7" s="1"/>
  <c r="O75" i="7"/>
  <c r="O50" i="7" s="1"/>
  <c r="O52" i="7" s="1"/>
  <c r="O268" i="7" s="1"/>
  <c r="O48" i="7"/>
  <c r="P48" i="7"/>
  <c r="P268" i="7" l="1"/>
  <c r="P344" i="7"/>
  <c r="P348" i="7" s="1"/>
  <c r="P355" i="7" s="1"/>
  <c r="P362" i="7" s="1"/>
  <c r="O368" i="7" s="1"/>
  <c r="P55" i="7"/>
  <c r="N148" i="7"/>
  <c r="N149" i="7" s="1"/>
  <c r="O146" i="7" s="1"/>
  <c r="O141" i="7"/>
  <c r="O147" i="7"/>
  <c r="N120" i="7"/>
  <c r="N121" i="7" s="1"/>
  <c r="N142" i="7" s="1"/>
  <c r="K115" i="7"/>
  <c r="K120" i="7" s="1"/>
  <c r="K121" i="7" s="1"/>
  <c r="K142" i="7" s="1"/>
  <c r="K231" i="7" s="1"/>
  <c r="O115" i="7"/>
  <c r="O120" i="7" s="1"/>
  <c r="O121" i="7" s="1"/>
  <c r="L115" i="7"/>
  <c r="L120" i="7" s="1"/>
  <c r="L121" i="7" s="1"/>
  <c r="M115" i="7"/>
  <c r="M120" i="7" s="1"/>
  <c r="M121" i="7" s="1"/>
  <c r="P58" i="7" l="1"/>
  <c r="I261" i="7" s="1"/>
  <c r="P261" i="7" s="1"/>
  <c r="I260" i="7"/>
  <c r="P260" i="7" s="1"/>
  <c r="N194" i="7"/>
  <c r="N231" i="7"/>
  <c r="N195" i="7"/>
  <c r="N232" i="7"/>
  <c r="O148" i="7"/>
  <c r="O149" i="7" s="1"/>
  <c r="K143" i="7"/>
  <c r="L140" i="7" s="1"/>
  <c r="K194" i="7"/>
  <c r="N54" i="7"/>
  <c r="K54" i="7"/>
  <c r="K277" i="7" s="1"/>
  <c r="L54" i="7"/>
  <c r="L277" i="7" s="1"/>
  <c r="L142" i="7"/>
  <c r="L231" i="7" s="1"/>
  <c r="M54" i="7"/>
  <c r="M277" i="7" s="1"/>
  <c r="M142" i="7"/>
  <c r="O54" i="7"/>
  <c r="O142" i="7"/>
  <c r="P60" i="7" l="1"/>
  <c r="P62" i="7" s="1"/>
  <c r="P64" i="7" s="1"/>
  <c r="P276" i="7" s="1"/>
  <c r="N55" i="7"/>
  <c r="N222" i="7" s="1"/>
  <c r="N230" i="7" s="1"/>
  <c r="N233" i="7" s="1"/>
  <c r="N236" i="7" s="1"/>
  <c r="N277" i="7"/>
  <c r="O55" i="7"/>
  <c r="O222" i="7" s="1"/>
  <c r="O230" i="7" s="1"/>
  <c r="O251" i="7" s="1"/>
  <c r="O277" i="7"/>
  <c r="P269" i="7"/>
  <c r="P262" i="7"/>
  <c r="P280" i="7" s="1"/>
  <c r="O195" i="7"/>
  <c r="O232" i="7"/>
  <c r="O194" i="7"/>
  <c r="O231" i="7"/>
  <c r="M194" i="7"/>
  <c r="M231" i="7"/>
  <c r="L143" i="7"/>
  <c r="M140" i="7" s="1"/>
  <c r="M143" i="7" s="1"/>
  <c r="N140" i="7" s="1"/>
  <c r="N143" i="7" s="1"/>
  <c r="O140" i="7" s="1"/>
  <c r="O143" i="7" s="1"/>
  <c r="L194" i="7"/>
  <c r="M55" i="7"/>
  <c r="M222" i="7" s="1"/>
  <c r="M230" i="7" s="1"/>
  <c r="K55" i="7"/>
  <c r="K222" i="7" s="1"/>
  <c r="K230" i="7" s="1"/>
  <c r="L55" i="7"/>
  <c r="L222" i="7" s="1"/>
  <c r="L230" i="7" s="1"/>
  <c r="O242" i="7" l="1"/>
  <c r="N251" i="7"/>
  <c r="O58" i="7"/>
  <c r="O185" i="7" s="1"/>
  <c r="O193" i="7" s="1"/>
  <c r="O214" i="7" s="1"/>
  <c r="N58" i="7"/>
  <c r="N185" i="7" s="1"/>
  <c r="N193" i="7" s="1"/>
  <c r="N214" i="7" s="1"/>
  <c r="N242" i="7"/>
  <c r="O233" i="7"/>
  <c r="O236" i="7" s="1"/>
  <c r="K251" i="7"/>
  <c r="K242" i="7"/>
  <c r="K233" i="7"/>
  <c r="K236" i="7" s="1"/>
  <c r="L251" i="7"/>
  <c r="L242" i="7"/>
  <c r="M251" i="7"/>
  <c r="M233" i="7"/>
  <c r="M236" i="7" s="1"/>
  <c r="M242" i="7"/>
  <c r="L233" i="7"/>
  <c r="L236" i="7" s="1"/>
  <c r="M58" i="7"/>
  <c r="M185" i="7" s="1"/>
  <c r="M193" i="7" s="1"/>
  <c r="M214" i="7" s="1"/>
  <c r="L58" i="7"/>
  <c r="K58" i="7"/>
  <c r="K167" i="7"/>
  <c r="L167" i="7"/>
  <c r="M167" i="7"/>
  <c r="N167" i="7"/>
  <c r="O167" i="7"/>
  <c r="P167" i="7"/>
  <c r="K168" i="7"/>
  <c r="L168" i="7"/>
  <c r="M168" i="7"/>
  <c r="N168" i="7"/>
  <c r="O168" i="7"/>
  <c r="P168" i="7"/>
  <c r="K169" i="7"/>
  <c r="K173" i="7" s="1"/>
  <c r="L169" i="7"/>
  <c r="L173" i="7" s="1"/>
  <c r="M169" i="7"/>
  <c r="M173" i="7" s="1"/>
  <c r="N169" i="7"/>
  <c r="N173" i="7" s="1"/>
  <c r="O169" i="7"/>
  <c r="O173" i="7" s="1"/>
  <c r="P169" i="7"/>
  <c r="P173" i="7" s="1"/>
  <c r="O205" i="7" l="1"/>
  <c r="M205" i="7"/>
  <c r="N205" i="7"/>
  <c r="L185" i="7"/>
  <c r="L193" i="7" s="1"/>
  <c r="L214" i="7" s="1"/>
  <c r="K185" i="7"/>
  <c r="K193" i="7" s="1"/>
  <c r="K214" i="7" s="1"/>
  <c r="L172" i="7"/>
  <c r="L174" i="7" s="1"/>
  <c r="K172" i="7"/>
  <c r="K174" i="7" s="1"/>
  <c r="P172" i="7"/>
  <c r="P174" i="7" s="1"/>
  <c r="N172" i="7"/>
  <c r="N174" i="7" s="1"/>
  <c r="M172" i="7"/>
  <c r="M174" i="7" s="1"/>
  <c r="O172" i="7"/>
  <c r="O174" i="7" s="1"/>
  <c r="P177" i="7" l="1"/>
  <c r="P271" i="7" s="1"/>
  <c r="L205" i="7"/>
  <c r="K205" i="7"/>
  <c r="N177" i="7"/>
  <c r="N271" i="7" s="1"/>
  <c r="N282" i="7" s="1"/>
  <c r="L177" i="7"/>
  <c r="L271" i="7" s="1"/>
  <c r="L282" i="7" s="1"/>
  <c r="K177" i="7"/>
  <c r="K271" i="7" s="1"/>
  <c r="K282" i="7" s="1"/>
  <c r="O177" i="7"/>
  <c r="O271" i="7" s="1"/>
  <c r="O282" i="7" s="1"/>
  <c r="M177" i="7"/>
  <c r="M271" i="7" s="1"/>
  <c r="M282" i="7" s="1"/>
  <c r="P282" i="7" l="1"/>
  <c r="P283" i="7" s="1"/>
  <c r="P298" i="7" s="1"/>
  <c r="P272" i="7"/>
  <c r="O303" i="7" l="1"/>
  <c r="P343" i="7"/>
  <c r="P347" i="7" s="1"/>
  <c r="P354" i="7" s="1"/>
  <c r="P361" i="7" s="1"/>
  <c r="P286" i="7"/>
  <c r="O310" i="7" l="1"/>
  <c r="O317" i="7" s="1"/>
  <c r="O323" i="7" s="1"/>
  <c r="P349" i="7"/>
  <c r="P356" i="7" l="1"/>
  <c r="P363" i="7"/>
  <c r="K196" i="7" l="1"/>
  <c r="K199" i="7" s="1"/>
  <c r="K186" i="7" l="1"/>
  <c r="K206" i="7" s="1"/>
  <c r="K200" i="7" s="1"/>
  <c r="K201" i="7" s="1"/>
  <c r="L196" i="7"/>
  <c r="L186" i="7" s="1"/>
  <c r="M196" i="7"/>
  <c r="M199" i="7" s="1"/>
  <c r="N196" i="7"/>
  <c r="N199" i="7" s="1"/>
  <c r="O196" i="7"/>
  <c r="O186" i="7" s="1"/>
  <c r="K212" i="7" l="1"/>
  <c r="O199" i="7"/>
  <c r="N186" i="7"/>
  <c r="M186" i="7"/>
  <c r="K207" i="7"/>
  <c r="L204" i="7" s="1"/>
  <c r="L199" i="7"/>
  <c r="K60" i="7" l="1"/>
  <c r="K261" i="7"/>
  <c r="K213" i="7"/>
  <c r="K61" i="7" s="1"/>
  <c r="L206" i="7"/>
  <c r="K62" i="7" l="1"/>
  <c r="K64" i="7" s="1"/>
  <c r="K276" i="7" s="1"/>
  <c r="K278" i="7"/>
  <c r="L207" i="7"/>
  <c r="M204" i="7" s="1"/>
  <c r="L200" i="7"/>
  <c r="L201" i="7" s="1"/>
  <c r="L212" i="7" l="1"/>
  <c r="M206" i="7"/>
  <c r="M200" i="7" s="1"/>
  <c r="M201" i="7" s="1"/>
  <c r="L60" i="7" l="1"/>
  <c r="L261" i="7"/>
  <c r="M212" i="7"/>
  <c r="L213" i="7"/>
  <c r="L61" i="7" s="1"/>
  <c r="M207" i="7"/>
  <c r="N204" i="7" s="1"/>
  <c r="N206" i="7" s="1"/>
  <c r="N200" i="7" s="1"/>
  <c r="N201" i="7" s="1"/>
  <c r="L62" i="7" l="1"/>
  <c r="L64" i="7" s="1"/>
  <c r="L276" i="7" s="1"/>
  <c r="L278" i="7"/>
  <c r="M60" i="7"/>
  <c r="M261" i="7"/>
  <c r="M213" i="7"/>
  <c r="M61" i="7" s="1"/>
  <c r="N212" i="7"/>
  <c r="N207" i="7"/>
  <c r="O204" i="7" s="1"/>
  <c r="N60" i="7" l="1"/>
  <c r="N261" i="7"/>
  <c r="M62" i="7"/>
  <c r="M64" i="7" s="1"/>
  <c r="M276" i="7" s="1"/>
  <c r="M278" i="7"/>
  <c r="N213" i="7"/>
  <c r="N61" i="7" s="1"/>
  <c r="O206" i="7"/>
  <c r="O200" i="7" s="1"/>
  <c r="O201" i="7" s="1"/>
  <c r="N62" i="7" l="1"/>
  <c r="N64" i="7" s="1"/>
  <c r="N276" i="7" s="1"/>
  <c r="N278" i="7"/>
  <c r="O212" i="7"/>
  <c r="O207" i="7"/>
  <c r="D189" i="7" s="1"/>
  <c r="M18" i="8" s="1"/>
  <c r="O60" i="7" l="1"/>
  <c r="O261" i="7"/>
  <c r="O213" i="7"/>
  <c r="O61" i="7" s="1"/>
  <c r="K223" i="7"/>
  <c r="K243" i="7" s="1"/>
  <c r="L223" i="7"/>
  <c r="M223" i="7"/>
  <c r="N223" i="7"/>
  <c r="O223" i="7"/>
  <c r="O62" i="7" l="1"/>
  <c r="O64" i="7" s="1"/>
  <c r="O276" i="7" s="1"/>
  <c r="O278" i="7"/>
  <c r="K237" i="7"/>
  <c r="K238" i="7" s="1"/>
  <c r="K244" i="7"/>
  <c r="L241" i="7" s="1"/>
  <c r="K249" i="7" l="1"/>
  <c r="L243" i="7"/>
  <c r="L237" i="7" s="1"/>
  <c r="L238" i="7" s="1"/>
  <c r="K250" i="7" l="1"/>
  <c r="K260" i="7"/>
  <c r="L249" i="7"/>
  <c r="L244" i="7"/>
  <c r="M241" i="7" s="1"/>
  <c r="L250" i="7" l="1"/>
  <c r="L260" i="7"/>
  <c r="K269" i="7"/>
  <c r="K272" i="7" s="1"/>
  <c r="K262" i="7"/>
  <c r="K280" i="7" s="1"/>
  <c r="K283" i="7" s="1"/>
  <c r="K298" i="7" s="1"/>
  <c r="M243" i="7"/>
  <c r="M237" i="7" s="1"/>
  <c r="M238" i="7" s="1"/>
  <c r="K302" i="7" l="1"/>
  <c r="K309" i="7" s="1"/>
  <c r="K343" i="7"/>
  <c r="K347" i="7" s="1"/>
  <c r="K354" i="7" s="1"/>
  <c r="K361" i="7" s="1"/>
  <c r="K286" i="7"/>
  <c r="L262" i="7"/>
  <c r="L280" i="7" s="1"/>
  <c r="L283" i="7" s="1"/>
  <c r="L298" i="7" s="1"/>
  <c r="L269" i="7"/>
  <c r="L272" i="7" s="1"/>
  <c r="M249" i="7"/>
  <c r="M244" i="7"/>
  <c r="N241" i="7" s="1"/>
  <c r="K304" i="7" l="1"/>
  <c r="L302" i="7"/>
  <c r="L309" i="7" s="1"/>
  <c r="L343" i="7"/>
  <c r="L347" i="7" s="1"/>
  <c r="L354" i="7" s="1"/>
  <c r="L361" i="7" s="1"/>
  <c r="K349" i="7"/>
  <c r="L286" i="7"/>
  <c r="K316" i="7"/>
  <c r="K311" i="7"/>
  <c r="M250" i="7"/>
  <c r="M260" i="7"/>
  <c r="N243" i="7"/>
  <c r="N237" i="7" s="1"/>
  <c r="N238" i="7" s="1"/>
  <c r="L304" i="7" l="1"/>
  <c r="K356" i="7"/>
  <c r="L349" i="7"/>
  <c r="K318" i="7"/>
  <c r="L311" i="7"/>
  <c r="L316" i="7"/>
  <c r="L318" i="7" s="1"/>
  <c r="M262" i="7"/>
  <c r="M280" i="7" s="1"/>
  <c r="M283" i="7" s="1"/>
  <c r="M298" i="7" s="1"/>
  <c r="M269" i="7"/>
  <c r="M272" i="7" s="1"/>
  <c r="N249" i="7"/>
  <c r="N244" i="7"/>
  <c r="O241" i="7" s="1"/>
  <c r="M302" i="7" l="1"/>
  <c r="M309" i="7" s="1"/>
  <c r="M343" i="7"/>
  <c r="M347" i="7" s="1"/>
  <c r="M354" i="7" s="1"/>
  <c r="M361" i="7" s="1"/>
  <c r="L363" i="7"/>
  <c r="L356" i="7"/>
  <c r="K363" i="7"/>
  <c r="M286" i="7"/>
  <c r="N250" i="7"/>
  <c r="N260" i="7"/>
  <c r="O243" i="7"/>
  <c r="O237" i="7" s="1"/>
  <c r="O238" i="7" s="1"/>
  <c r="M304" i="7" l="1"/>
  <c r="M349" i="7"/>
  <c r="M311" i="7"/>
  <c r="M316" i="7"/>
  <c r="N262" i="7"/>
  <c r="N280" i="7" s="1"/>
  <c r="N283" i="7" s="1"/>
  <c r="N298" i="7" s="1"/>
  <c r="N269" i="7"/>
  <c r="N272" i="7" s="1"/>
  <c r="O249" i="7"/>
  <c r="O244" i="7"/>
  <c r="D226" i="7" s="1"/>
  <c r="M19" i="8" s="1"/>
  <c r="N286" i="7" l="1"/>
  <c r="M20" i="8" s="1"/>
  <c r="N302" i="7"/>
  <c r="N309" i="7" s="1"/>
  <c r="N343" i="7"/>
  <c r="N347" i="7" s="1"/>
  <c r="N354" i="7" s="1"/>
  <c r="N361" i="7" s="1"/>
  <c r="M356" i="7"/>
  <c r="M318" i="7"/>
  <c r="O250" i="7"/>
  <c r="O260" i="7"/>
  <c r="N304" i="7" l="1"/>
  <c r="N349" i="7"/>
  <c r="M363" i="7"/>
  <c r="N316" i="7"/>
  <c r="N311" i="7"/>
  <c r="O269" i="7"/>
  <c r="O272" i="7" s="1"/>
  <c r="O262" i="7"/>
  <c r="O280" i="7" s="1"/>
  <c r="O283" i="7" s="1"/>
  <c r="O298" i="7" s="1"/>
  <c r="O302" i="7" l="1"/>
  <c r="O343" i="7"/>
  <c r="O347" i="7" s="1"/>
  <c r="O354" i="7" s="1"/>
  <c r="O361" i="7" s="1"/>
  <c r="O367" i="7" s="1"/>
  <c r="O369" i="7" s="1"/>
  <c r="N356" i="7"/>
  <c r="N318" i="7"/>
  <c r="O286" i="7"/>
  <c r="O304" i="7" l="1"/>
  <c r="O309" i="7"/>
  <c r="O316" i="7" s="1"/>
  <c r="N363" i="7"/>
  <c r="O349" i="7"/>
  <c r="O311" i="7" l="1"/>
  <c r="O356" i="7"/>
  <c r="J368" i="7" s="1"/>
  <c r="J373" i="7" s="1"/>
  <c r="O318" i="7"/>
  <c r="J322" i="7" s="1"/>
  <c r="O322" i="7"/>
  <c r="J323" i="7" l="1"/>
  <c r="F11" i="9" s="1"/>
  <c r="F48" i="9"/>
  <c r="J375" i="7"/>
  <c r="C57" i="9"/>
  <c r="O363" i="7"/>
  <c r="J367" i="7" s="1"/>
  <c r="O324" i="7"/>
  <c r="C20" i="9" l="1"/>
  <c r="J328" i="7"/>
  <c r="J330" i="7" s="1"/>
  <c r="O373" i="7"/>
  <c r="O375" i="7" s="1"/>
  <c r="N322" i="7"/>
  <c r="N323" i="7"/>
  <c r="N324" i="7"/>
  <c r="O328" i="7" l="1"/>
  <c r="O330" i="7" s="1"/>
  <c r="N369" i="7"/>
  <c r="N368" i="7"/>
  <c r="N367" i="7"/>
  <c r="N49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<sst xmlns="http://schemas.openxmlformats.org/spreadsheetml/2006/main" count="1126" uniqueCount="506">
  <si>
    <t>Basic EPS</t>
  </si>
  <si>
    <t>EBIT</t>
  </si>
  <si>
    <t>EBITDA</t>
  </si>
  <si>
    <t>Cost Of Goods Sold</t>
  </si>
  <si>
    <t>Gross Profit</t>
  </si>
  <si>
    <t>Net Income</t>
  </si>
  <si>
    <t>All figures in USD thousands unless stated</t>
  </si>
  <si>
    <t>Income Statement</t>
  </si>
  <si>
    <t>Inventory</t>
  </si>
  <si>
    <t>Balance Sheet</t>
  </si>
  <si>
    <t>Other Current Assets</t>
  </si>
  <si>
    <t>Other Long-Term Assets</t>
  </si>
  <si>
    <t>Total Assets</t>
  </si>
  <si>
    <t>Other Non-Current Liabilities</t>
  </si>
  <si>
    <t>Total Liabilities</t>
  </si>
  <si>
    <t>-</t>
  </si>
  <si>
    <t>Change In Inventories</t>
  </si>
  <si>
    <t>Stock-Based Compensation</t>
  </si>
  <si>
    <t>Selling General &amp; Admin Exp.</t>
  </si>
  <si>
    <t>R &amp; D Exp.</t>
  </si>
  <si>
    <t>Depreciation &amp; Amort.</t>
  </si>
  <si>
    <t>Interest Expense</t>
  </si>
  <si>
    <t>Interest and Invest. Income</t>
  </si>
  <si>
    <t>Other Non-Operating Inc. (Exp.)</t>
  </si>
  <si>
    <t>Income Tax Expense</t>
  </si>
  <si>
    <t>NVIDIA CORPORATION (NASDAQGS:NVDA)</t>
  </si>
  <si>
    <t>ASSETS</t>
  </si>
  <si>
    <t>Cash And Equivalents</t>
  </si>
  <si>
    <t>Short Term Investments</t>
  </si>
  <si>
    <t xml:space="preserve">  Total Cash &amp; ST Investments</t>
  </si>
  <si>
    <t>Accounts Receivable</t>
  </si>
  <si>
    <t xml:space="preserve">  Total Receivables</t>
  </si>
  <si>
    <t>Prepaid Exp.</t>
  </si>
  <si>
    <t>Deferred Tax Assets, Curr.</t>
  </si>
  <si>
    <t xml:space="preserve">  Total Current Assets</t>
  </si>
  <si>
    <t>Gross Property, Plant &amp; Equipment</t>
  </si>
  <si>
    <t>Accumulated Depreciation</t>
  </si>
  <si>
    <t xml:space="preserve">  Net Property, Plant &amp; Equipment</t>
  </si>
  <si>
    <t>Long-term Investments</t>
  </si>
  <si>
    <t>Goodwill</t>
  </si>
  <si>
    <t>Other Intangibles</t>
  </si>
  <si>
    <t>Deferred Tax Assets, LT</t>
  </si>
  <si>
    <t>LIABILITIES</t>
  </si>
  <si>
    <t>Accounts Payable</t>
  </si>
  <si>
    <t>Accrued Exp.</t>
  </si>
  <si>
    <t>Curr. Port. of LT Debt</t>
  </si>
  <si>
    <t>Curr. Port. of Leases</t>
  </si>
  <si>
    <t>Curr. Income Taxes Payable</t>
  </si>
  <si>
    <t>Unearned Revenue, Current</t>
  </si>
  <si>
    <t>Other Current Liabilities</t>
  </si>
  <si>
    <t xml:space="preserve">  Total Current Liabilities</t>
  </si>
  <si>
    <t>Long-Term Debt</t>
  </si>
  <si>
    <t>Long-Term Leases</t>
  </si>
  <si>
    <t>Unearned Revenue, Non-Current</t>
  </si>
  <si>
    <t>Pension &amp; Other Post-Retire. Benefits</t>
  </si>
  <si>
    <t>Def. Tax Liability, Non-Curr.</t>
  </si>
  <si>
    <t>Common Stock</t>
  </si>
  <si>
    <t>Additional Paid In Capital</t>
  </si>
  <si>
    <t>Retained Earnings</t>
  </si>
  <si>
    <t>Treasury Stock</t>
  </si>
  <si>
    <t>Comprehensive Inc. and Other</t>
  </si>
  <si>
    <t xml:space="preserve">  Total Common Equity</t>
  </si>
  <si>
    <t>Total Equity</t>
  </si>
  <si>
    <t>Total Liabilities And Equity</t>
  </si>
  <si>
    <t>Amort. of Goodwill and Intangibles</t>
  </si>
  <si>
    <t>Depreciation &amp; Amort., Total</t>
  </si>
  <si>
    <t>Other Amortization</t>
  </si>
  <si>
    <t>(Gain) Loss From Sale Of Assets</t>
  </si>
  <si>
    <t>(Gain) Loss On Sale Of Invest.</t>
  </si>
  <si>
    <t>Asset Writedown &amp; Restructuring Costs</t>
  </si>
  <si>
    <t>Tax Benefit from Stock Options</t>
  </si>
  <si>
    <t>Other Operating Activities</t>
  </si>
  <si>
    <t>Change in Acc. Receivable</t>
  </si>
  <si>
    <t>Change in Acc. Payable</t>
  </si>
  <si>
    <t>Change in Other Net Operating Assets</t>
  </si>
  <si>
    <t xml:space="preserve">  Cash from Ops.</t>
  </si>
  <si>
    <t>Capital Expenditure</t>
  </si>
  <si>
    <t>Sale of Property, Plant, and Equipment</t>
  </si>
  <si>
    <t>Cash Acquisitions</t>
  </si>
  <si>
    <t>Invest. in Marketable &amp; Equity Securt.</t>
  </si>
  <si>
    <t>Other Investing Activities</t>
  </si>
  <si>
    <t xml:space="preserve">  Cash from Investing</t>
  </si>
  <si>
    <t>Long-Term Debt Issued</t>
  </si>
  <si>
    <t>Long-Term Debt Repaid</t>
  </si>
  <si>
    <t>Issuance of Common Stock</t>
  </si>
  <si>
    <t>Repurchase of Common Stock</t>
  </si>
  <si>
    <t>Common Dividends Paid</t>
  </si>
  <si>
    <t>Total Dividends Paid</t>
  </si>
  <si>
    <t>Other Financing Activities</t>
  </si>
  <si>
    <t xml:space="preserve">  Cash from Financing</t>
  </si>
  <si>
    <t xml:space="preserve">  Net Change in Cash</t>
  </si>
  <si>
    <t>LTM</t>
  </si>
  <si>
    <t>Tax Rate</t>
  </si>
  <si>
    <t>Weighted Average Cost of Capital</t>
  </si>
  <si>
    <t>Average</t>
  </si>
  <si>
    <t>Debt/</t>
  </si>
  <si>
    <t>Levered</t>
  </si>
  <si>
    <t>Name</t>
  </si>
  <si>
    <t>Debt</t>
  </si>
  <si>
    <t>Equity</t>
  </si>
  <si>
    <t>Capital</t>
  </si>
  <si>
    <t>Median</t>
  </si>
  <si>
    <t>Cost of Equity</t>
  </si>
  <si>
    <t>Risk Free Rate</t>
  </si>
  <si>
    <t>Equity Risk Premium</t>
  </si>
  <si>
    <t>Capital Structure</t>
  </si>
  <si>
    <t>Cost of Debt</t>
  </si>
  <si>
    <t>Current</t>
  </si>
  <si>
    <t>Pre-Tax Cost of Debt</t>
  </si>
  <si>
    <t>Total Debt</t>
  </si>
  <si>
    <t>Market Capitalization</t>
  </si>
  <si>
    <t>After-Tax Cost of Debt</t>
  </si>
  <si>
    <t>Total Capitalization</t>
  </si>
  <si>
    <t>Debt / Equity</t>
  </si>
  <si>
    <t>Weight</t>
  </si>
  <si>
    <t>Debt Capital</t>
  </si>
  <si>
    <t>Equity Capital</t>
  </si>
  <si>
    <t>Advanced Micro Devices, Inc.</t>
  </si>
  <si>
    <t>Intel Corporation</t>
  </si>
  <si>
    <t>Broadcom Inc.</t>
  </si>
  <si>
    <t>QUALCOMM Incorporated</t>
  </si>
  <si>
    <t>Micron Technology, Inc.</t>
  </si>
  <si>
    <t>Texas Instruments Incorporated</t>
  </si>
  <si>
    <t>Ticker</t>
  </si>
  <si>
    <t>NasdaqGS:AMD</t>
  </si>
  <si>
    <t>NasdaqGS:INTC</t>
  </si>
  <si>
    <t>NasdaqGS:AVGO</t>
  </si>
  <si>
    <t>NasdaqGS:QCOM</t>
  </si>
  <si>
    <t>NasdaqGS:MU</t>
  </si>
  <si>
    <t>NasdaqGS:TXN</t>
  </si>
  <si>
    <t>Currency</t>
  </si>
  <si>
    <t>USD</t>
  </si>
  <si>
    <t xml:space="preserve"> </t>
  </si>
  <si>
    <t>Revenue</t>
  </si>
  <si>
    <t>Other Revenue</t>
  </si>
  <si>
    <t xml:space="preserve">  Total Revenue</t>
  </si>
  <si>
    <t xml:space="preserve">  Gross Profit</t>
  </si>
  <si>
    <t>Other Operating Expense/(Income)</t>
  </si>
  <si>
    <t xml:space="preserve">  Other Operating Exp., Total</t>
  </si>
  <si>
    <t xml:space="preserve">  Operating Income</t>
  </si>
  <si>
    <t xml:space="preserve">  Net Interest Exp.</t>
  </si>
  <si>
    <t>Currency Exchange Gains (Loss)</t>
  </si>
  <si>
    <t xml:space="preserve">  EBT Excl. Unusual Items</t>
  </si>
  <si>
    <t>Restructuring Charges</t>
  </si>
  <si>
    <t>Merger &amp; Related Restruct. Charges</t>
  </si>
  <si>
    <t>Impairment of Goodwill</t>
  </si>
  <si>
    <t>Gain (Loss) On Sale Of Invest.</t>
  </si>
  <si>
    <t>Other Unusual Items</t>
  </si>
  <si>
    <t xml:space="preserve">  EBT Incl. Unusual Items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</si>
  <si>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</si>
  <si>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</si>
  <si>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</si>
  <si>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</si>
  <si>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</si>
  <si>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</si>
  <si>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</si>
  <si>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</si>
  <si>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</si>
  <si>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</si>
  <si>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NA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</si>
  <si>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</si>
  <si>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</si>
  <si>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</si>
  <si>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</si>
  <si>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</si>
  <si>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</si>
  <si>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</si>
  <si>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Dividends per Share</t>
  </si>
  <si>
    <t>Payout Ratio %</t>
  </si>
  <si>
    <t>Shares per Depository Receipt</t>
  </si>
  <si>
    <t>Supplemental Items</t>
  </si>
  <si>
    <t>EBITA</t>
  </si>
  <si>
    <t>EBITDAR</t>
  </si>
  <si>
    <t>Effective Tax Rate %</t>
  </si>
  <si>
    <t>NM</t>
  </si>
  <si>
    <t>Current Domestic Taxes</t>
  </si>
  <si>
    <t>Current Foreign Taxes</t>
  </si>
  <si>
    <t>Total Current Taxes</t>
  </si>
  <si>
    <t>Deferred Domestic Taxes</t>
  </si>
  <si>
    <t>Deferred Foreign Taxes</t>
  </si>
  <si>
    <t>Total Deferred Taxes</t>
  </si>
  <si>
    <t>Normalized Net Income</t>
  </si>
  <si>
    <t>Interest on Long Term Debt</t>
  </si>
  <si>
    <t>Filing Date</t>
  </si>
  <si>
    <t>Restatement Type</t>
  </si>
  <si>
    <t>NC</t>
  </si>
  <si>
    <t>O</t>
  </si>
  <si>
    <t>Calculation Type</t>
  </si>
  <si>
    <t>REP</t>
  </si>
  <si>
    <t>Supplemental Operating Expense Items</t>
  </si>
  <si>
    <t>Advertising Exp.</t>
  </si>
  <si>
    <t>Selling and Marketing Exp.</t>
  </si>
  <si>
    <t>R&amp;D Exp.</t>
  </si>
  <si>
    <t>Net Rental Exp.</t>
  </si>
  <si>
    <t>Imputed Oper. Lease Interest Exp.</t>
  </si>
  <si>
    <t>Imputed Oper. Lease Depreciation</t>
  </si>
  <si>
    <t>Stock-Based Comp., COGS</t>
  </si>
  <si>
    <t>Stock-Based Comp., R&amp;D Exp.</t>
  </si>
  <si>
    <t>Stock-Based Comp., SG&amp;A Exp.</t>
  </si>
  <si>
    <t xml:space="preserve">  Stock-Based Comp., Total</t>
  </si>
  <si>
    <t>Note: For multiple class companies, per share items are primary class equivalent, and for foreign companies listed as primary ADRs, per share items are ADR-equivalent.</t>
  </si>
  <si>
    <t>Data items have been saved at different times with multiple currencies. Values are converted where necessary to the most common currency of the filing.</t>
  </si>
  <si>
    <t>Total Shares Out. on Filing Date</t>
  </si>
  <si>
    <t>Total Shares Out. on Balance Sheet Date</t>
  </si>
  <si>
    <t>Book Value/Share</t>
  </si>
  <si>
    <t>Tangible Book Value</t>
  </si>
  <si>
    <t>Tangible Book Value/Share</t>
  </si>
  <si>
    <t>Net Debt</t>
  </si>
  <si>
    <t>Debt Equivalent Oper. Leases</t>
  </si>
  <si>
    <t>Inventory Method</t>
  </si>
  <si>
    <t>Raw Materials Inventory</t>
  </si>
  <si>
    <t>Work in Progress Inventory</t>
  </si>
  <si>
    <t>Finished Goods Inventory</t>
  </si>
  <si>
    <t>Land</t>
  </si>
  <si>
    <t>Buildings</t>
  </si>
  <si>
    <t>Machinery</t>
  </si>
  <si>
    <t>Construction in Progress</t>
  </si>
  <si>
    <t>Leasehold Improvements</t>
  </si>
  <si>
    <t>Full Time Employees</t>
  </si>
  <si>
    <t>Assets under Cap. Lease, Gross</t>
  </si>
  <si>
    <t>Accum. Allowance for Doubtful Accts</t>
  </si>
  <si>
    <t>RUP</t>
  </si>
  <si>
    <t>Note: For multiple class companies, total share counts are primary class equivalent, and for foreign companies listed as primary ADRs, total share counts are ADR-equivalent.</t>
  </si>
  <si>
    <t>Cash Flow</t>
  </si>
  <si>
    <t>Divestitures</t>
  </si>
  <si>
    <t>Net (Inc.) Dec. in Loans Originated/Sold</t>
  </si>
  <si>
    <t>Short Term Debt Issued</t>
  </si>
  <si>
    <t>Total Debt Issued</t>
  </si>
  <si>
    <t>Short Term Debt Repaid</t>
  </si>
  <si>
    <t>Total Debt Repaid</t>
  </si>
  <si>
    <t>Special Dividend Paid</t>
  </si>
  <si>
    <t>Cash Interest Paid</t>
  </si>
  <si>
    <t>Cash Taxes Paid</t>
  </si>
  <si>
    <t>Levered Free Cash Flow</t>
  </si>
  <si>
    <t>Unlevered Free Cash Flow</t>
  </si>
  <si>
    <t>Change in Net Working Capital</t>
  </si>
  <si>
    <t>Net Debt Issued</t>
  </si>
  <si>
    <t>Beta</t>
  </si>
  <si>
    <t>Leveraged Beta</t>
  </si>
  <si>
    <t>Source: S&amp;P Capital IQ</t>
  </si>
  <si>
    <t>Drivers</t>
  </si>
  <si>
    <t>Term</t>
  </si>
  <si>
    <t>Driver Switch</t>
  </si>
  <si>
    <t>(Days)</t>
  </si>
  <si>
    <t>Revenue Schedule</t>
  </si>
  <si>
    <t>Days in Period</t>
  </si>
  <si>
    <t>OPERATIONS</t>
  </si>
  <si>
    <t>REVENUE</t>
  </si>
  <si>
    <t>Cost Schedule</t>
  </si>
  <si>
    <t>COGS</t>
  </si>
  <si>
    <t>2026F</t>
  </si>
  <si>
    <t>2027F</t>
  </si>
  <si>
    <t>2028F</t>
  </si>
  <si>
    <t>2029F</t>
  </si>
  <si>
    <t>2030F</t>
  </si>
  <si>
    <t>Period</t>
  </si>
  <si>
    <t>12 months</t>
  </si>
  <si>
    <t>Graphics Growth</t>
  </si>
  <si>
    <t>Compute &amp; Networking Growth</t>
  </si>
  <si>
    <t>Graphics Revenue</t>
  </si>
  <si>
    <t>Compute &amp; Networking Revenue</t>
  </si>
  <si>
    <t>Unlevered</t>
  </si>
  <si>
    <t>Cost</t>
  </si>
  <si>
    <t>Graphics Revenue Segment Growth</t>
  </si>
  <si>
    <t>Compute &amp; Networking Revenue Growth</t>
  </si>
  <si>
    <t>Revenue Growth (%)</t>
  </si>
  <si>
    <t>Gross Margin (%)</t>
  </si>
  <si>
    <t>Cost Margin (%)</t>
  </si>
  <si>
    <t>Gross Margin</t>
  </si>
  <si>
    <t>SG&amp;A</t>
  </si>
  <si>
    <t>Depreciation</t>
  </si>
  <si>
    <t>Interest</t>
  </si>
  <si>
    <t>EBT</t>
  </si>
  <si>
    <t>Current Tax</t>
  </si>
  <si>
    <t>Deferred Tax</t>
  </si>
  <si>
    <t>Total Tax</t>
  </si>
  <si>
    <t>R&amp;D</t>
  </si>
  <si>
    <t>WACC</t>
  </si>
  <si>
    <t>Operational Expense Schedule</t>
  </si>
  <si>
    <t xml:space="preserve"> SG&amp;A %</t>
  </si>
  <si>
    <t xml:space="preserve"> R&amp;D %</t>
  </si>
  <si>
    <t>Depreciation Schedule</t>
  </si>
  <si>
    <t xml:space="preserve">Capital Expenditure </t>
  </si>
  <si>
    <t>Years</t>
  </si>
  <si>
    <t>Percent of Full Year</t>
  </si>
  <si>
    <t>Useful Life: Existing Assets</t>
  </si>
  <si>
    <t>Useful Life: New Assets</t>
  </si>
  <si>
    <t>First Year Accounting Depreciation</t>
  </si>
  <si>
    <t>Year</t>
  </si>
  <si>
    <t>Life</t>
  </si>
  <si>
    <t>Amounts for Depreciation</t>
  </si>
  <si>
    <t>Capex</t>
  </si>
  <si>
    <t>Per Yr</t>
  </si>
  <si>
    <t>Existing Assets</t>
  </si>
  <si>
    <t>New Assets</t>
  </si>
  <si>
    <t>Total Depreciation</t>
  </si>
  <si>
    <t xml:space="preserve">All PP&amp;E and capital expenditure is assumed depreciable (i.e. no land balance). </t>
  </si>
  <si>
    <t xml:space="preserve">This schedule calculates depreciation on a straight-line basis. </t>
  </si>
  <si>
    <t>Capex %</t>
  </si>
  <si>
    <t>Strictly Confidential</t>
  </si>
  <si>
    <t>Table of Contents</t>
  </si>
  <si>
    <t>Model Checks</t>
  </si>
  <si>
    <t>Outputs</t>
  </si>
  <si>
    <t>Incorrect Date Set for Valuation?</t>
  </si>
  <si>
    <t>Inputs</t>
  </si>
  <si>
    <t>Incorrect Date Set for First Cash Flow?</t>
  </si>
  <si>
    <t>Model</t>
  </si>
  <si>
    <t>Terminal Growth Rate Greater Than or Equal To WACC?</t>
  </si>
  <si>
    <t>Unused Tax Losses Remaining? (Levered Schedule)</t>
  </si>
  <si>
    <t>Unused Tax Losses Remaining? (Unlevered Schedule)</t>
  </si>
  <si>
    <t>Two UFCF Methods Different?</t>
  </si>
  <si>
    <t>© 2015 to 2024 CFI Education Inc.</t>
  </si>
  <si>
    <t>This Excel model is for educational purposes only and should not be used for any other reason. All content is Copyright material of CFI Education Inc.</t>
  </si>
  <si>
    <t>All rights reserved.  The contents of this publication, including but not limited to all written material, content layout, images, formulas, and code, are protected</t>
  </si>
  <si>
    <t>under international copyright and trademark laws.  No part of this publication may be modified, manipulated, reproduced, distributed, or transmitted in any</t>
  </si>
  <si>
    <t xml:space="preserve">form by any means, including photocopying, recording, or other electronic or mechanical methods, without prior written permission of the publisher, </t>
  </si>
  <si>
    <t>except in the case of certain noncommercial uses permitted by copyright law.</t>
  </si>
  <si>
    <t>https://corporatefinanceinstitute.com/</t>
  </si>
  <si>
    <t>Asset Schedule</t>
  </si>
  <si>
    <t>First Year Tax Depreciation</t>
  </si>
  <si>
    <t>Blended Tax Depreciation Rate</t>
  </si>
  <si>
    <t>Beginning</t>
  </si>
  <si>
    <t>Accounting Depreciation</t>
  </si>
  <si>
    <t>Ending</t>
  </si>
  <si>
    <t>Total Revenue</t>
  </si>
  <si>
    <t>Cost of Revenue</t>
  </si>
  <si>
    <t>TOTAL AMOUNTS</t>
  </si>
  <si>
    <t>NET WORKING CAPITAL</t>
  </si>
  <si>
    <t>Current Assets</t>
  </si>
  <si>
    <t>Current Liabilities</t>
  </si>
  <si>
    <t>Net Working Capital</t>
  </si>
  <si>
    <t>Cash from Working Capital Items</t>
  </si>
  <si>
    <t>Income Tax Schedule (Levered)</t>
  </si>
  <si>
    <t>Earnings Before Tax (EBT)</t>
  </si>
  <si>
    <t>Profitable Before Taxes?</t>
  </si>
  <si>
    <t>Unused Tax Losses Remaining?</t>
  </si>
  <si>
    <t>ADJUSTMENT FOR DEPRECIATION</t>
  </si>
  <si>
    <t>Add: Accounting Depreciation</t>
  </si>
  <si>
    <t>Less: Tax Depreciation</t>
  </si>
  <si>
    <t>EBT After Adjustment</t>
  </si>
  <si>
    <t>Taxable Income</t>
  </si>
  <si>
    <t>TAX LOSSES</t>
  </si>
  <si>
    <t>Add: New Losses</t>
  </si>
  <si>
    <t>Less: Use of Tax Losses</t>
  </si>
  <si>
    <t>TAXES</t>
  </si>
  <si>
    <t>Current Taxes</t>
  </si>
  <si>
    <t>Deferred Taxes</t>
  </si>
  <si>
    <t>Total Taxes</t>
  </si>
  <si>
    <t>Income Tax Schedule (Unlevered)</t>
  </si>
  <si>
    <t>Earnings Before Interest &amp; Tax (EBIT)</t>
  </si>
  <si>
    <t>EBIT After Adjustment</t>
  </si>
  <si>
    <t>Working Capital Schedule</t>
  </si>
  <si>
    <t xml:space="preserve"> Net Interest Income (% of Revenue)</t>
  </si>
  <si>
    <t>Working Capital</t>
  </si>
  <si>
    <t>Tax Depreciation</t>
  </si>
  <si>
    <t>TAX BASIS</t>
  </si>
  <si>
    <t>PROPERTY PLANT &amp; EQUIPMENT</t>
  </si>
  <si>
    <t>EXISTING ASSET DEPRECIATION</t>
  </si>
  <si>
    <t>Unlevered Free Cash Flow Schedule</t>
  </si>
  <si>
    <t>Model Running: Base Case Drivers</t>
  </si>
  <si>
    <t>TAX SHIELD FROM INTEREST</t>
  </si>
  <si>
    <t>Line Item</t>
  </si>
  <si>
    <t>Current Taxes (Unlevered)</t>
  </si>
  <si>
    <t>Current Taxes (Levered)</t>
  </si>
  <si>
    <t>Total Tax Shield</t>
  </si>
  <si>
    <t>EBITDA METHOD</t>
  </si>
  <si>
    <t>Change in Working Capital</t>
  </si>
  <si>
    <t>NET INCOME METHOD</t>
  </si>
  <si>
    <t>Tax Shield From Interest</t>
  </si>
  <si>
    <t>Discounted Cash Flow Schedule: Perpetuity Method</t>
  </si>
  <si>
    <t>Valuation</t>
  </si>
  <si>
    <t>Discrete Forecast</t>
  </si>
  <si>
    <t>(YY-MM-DD)</t>
  </si>
  <si>
    <t>Terminal Growth</t>
  </si>
  <si>
    <t>Fiscal Year End</t>
  </si>
  <si>
    <t>Cash Flow Timing</t>
  </si>
  <si>
    <t>UNADJUSTED CASH FLOW</t>
  </si>
  <si>
    <t>Terminal Value</t>
  </si>
  <si>
    <t>Total Cash Flow</t>
  </si>
  <si>
    <t>ADJUSTED CASH FLOW</t>
  </si>
  <si>
    <t>Partial Period Adjustment</t>
  </si>
  <si>
    <t>DISCOUNTED CASH FLOW</t>
  </si>
  <si>
    <t>Years for Discounting</t>
  </si>
  <si>
    <t>ENTERPRISE VALUE</t>
  </si>
  <si>
    <t>Manual Method</t>
  </si>
  <si>
    <t>PV of Discrete</t>
  </si>
  <si>
    <t>PV of Terminal</t>
  </si>
  <si>
    <t>Enterprise Value</t>
  </si>
  <si>
    <t>EQUITY VALUE</t>
  </si>
  <si>
    <t>EQUITY VALUE PER SHARE</t>
  </si>
  <si>
    <t>Equity Value</t>
  </si>
  <si>
    <t>Less: Net Debt</t>
  </si>
  <si>
    <t>Shares Outstanding</t>
  </si>
  <si>
    <t>(FD 000)</t>
  </si>
  <si>
    <t>($/sh)</t>
  </si>
  <si>
    <t xml:space="preserve">The Enterprise Value from the XNPV Function is slightly different due to treatment of leap years. </t>
  </si>
  <si>
    <t>Discounted Cash Flow Schedule: Multiple Method</t>
  </si>
  <si>
    <t>Terminal Multiple</t>
  </si>
  <si>
    <t>Terminal</t>
  </si>
  <si>
    <t>Adjustment</t>
  </si>
  <si>
    <t xml:space="preserve">We have applied an LTM multiple to the EBITDA at the end of the terminal year to calculate the Terminal Value. </t>
  </si>
  <si>
    <t xml:space="preserve">The Enterprise Value from the XNPV Function is slightly different from the Manual Method due to treatment of leap years. </t>
  </si>
  <si>
    <t>Dashboard: Perpetuity Method</t>
  </si>
  <si>
    <t>Model Drivers Set To</t>
  </si>
  <si>
    <t>Selected Inputs</t>
  </si>
  <si>
    <t>Enterprise</t>
  </si>
  <si>
    <t>Value</t>
  </si>
  <si>
    <t>Per Share</t>
  </si>
  <si>
    <t>Terminal Growth Rate</t>
  </si>
  <si>
    <t>Best Case</t>
  </si>
  <si>
    <t>Base Case</t>
  </si>
  <si>
    <t>Worst Case</t>
  </si>
  <si>
    <t>Current Stock Price</t>
  </si>
  <si>
    <t>(US$/sh)</t>
  </si>
  <si>
    <t>Equity Value per Share</t>
  </si>
  <si>
    <t>Premium (Discount) to Stock Price</t>
  </si>
  <si>
    <t>Other Inputs</t>
  </si>
  <si>
    <t>Dates</t>
  </si>
  <si>
    <t>Valuation Date</t>
  </si>
  <si>
    <t>First Expected Cash Flow</t>
  </si>
  <si>
    <t>First Fiscal Year End for Forecast</t>
  </si>
  <si>
    <t>First Year of Forecast</t>
  </si>
  <si>
    <t>(YYYY)</t>
  </si>
  <si>
    <t>Weighted Average Cost of Capital (WACC)</t>
  </si>
  <si>
    <t>(Years)</t>
  </si>
  <si>
    <t>Terminal Growth Greater Than or Equal To WACC?</t>
  </si>
  <si>
    <t>(Amount in mm)</t>
  </si>
  <si>
    <t>Market Data</t>
  </si>
  <si>
    <t>Company</t>
  </si>
  <si>
    <t>Share Price</t>
  </si>
  <si>
    <t>Shares Out.</t>
  </si>
  <si>
    <t>EV/Revenue</t>
  </si>
  <si>
    <t>EV/EBITDA</t>
  </si>
  <si>
    <t>P/E</t>
  </si>
  <si>
    <t>High</t>
  </si>
  <si>
    <t>Low</t>
  </si>
  <si>
    <t>Implied Enterprice Value</t>
  </si>
  <si>
    <t>Implied Market Value</t>
  </si>
  <si>
    <t>Implied Value Per Share</t>
  </si>
  <si>
    <t>NVIDIA Corporation</t>
  </si>
  <si>
    <t>Microsoft Corporation</t>
  </si>
  <si>
    <t>Alphabet Inc.</t>
  </si>
  <si>
    <t>Analog Devices, Inc.</t>
  </si>
  <si>
    <t>Dell Technologies Inc.</t>
  </si>
  <si>
    <t>Oracle Corporation</t>
  </si>
  <si>
    <t>NasdaqGS:NVDA</t>
  </si>
  <si>
    <t>NASDAQGS:AVGO</t>
  </si>
  <si>
    <t>NASDAQGS:INTC</t>
  </si>
  <si>
    <t>NASDAQGS:MSFT</t>
  </si>
  <si>
    <t>NASDAQGS:AMD</t>
  </si>
  <si>
    <t>NASDAQGS:GOOGL</t>
  </si>
  <si>
    <t>NASDAQGS:QCOM</t>
  </si>
  <si>
    <t>NASDAQGS:ADI</t>
  </si>
  <si>
    <t>NYSE:DELL</t>
  </si>
  <si>
    <t>NASDAQGS:MU</t>
  </si>
  <si>
    <t>NYSE:ORCL</t>
  </si>
  <si>
    <t>Comps</t>
  </si>
  <si>
    <t>NVIDIA Corporation's Comparable Valuation</t>
  </si>
  <si>
    <t>Comparable Company Analysis</t>
  </si>
  <si>
    <t>DCF (Perpetuity Method)</t>
  </si>
  <si>
    <t>DCF (Exit Multiple Method)</t>
  </si>
  <si>
    <t>52-week</t>
  </si>
  <si>
    <t>Dashboard: Exit Multiple Method</t>
  </si>
  <si>
    <t>Best</t>
  </si>
  <si>
    <t>Worst</t>
  </si>
  <si>
    <t>Base</t>
  </si>
  <si>
    <t>For the Fiscal Period Ending</t>
  </si>
  <si>
    <r>
      <t xml:space="preserve">NEW ASSET DEPRECIATION </t>
    </r>
    <r>
      <rPr>
        <b/>
        <vertAlign val="superscript"/>
        <sz val="10"/>
        <rFont val="Lora"/>
      </rPr>
      <t>1</t>
    </r>
  </si>
  <si>
    <r>
      <t xml:space="preserve">TOTAL ASSET DEPRECIATION </t>
    </r>
    <r>
      <rPr>
        <b/>
        <vertAlign val="superscript"/>
        <sz val="9"/>
        <rFont val="Lora"/>
      </rPr>
      <t>2</t>
    </r>
  </si>
  <si>
    <r>
      <t xml:space="preserve">AMOUNTS PER DAY </t>
    </r>
    <r>
      <rPr>
        <b/>
        <vertAlign val="superscript"/>
        <sz val="10"/>
        <color rgb="FF000000"/>
        <rFont val="Lora"/>
      </rPr>
      <t>1</t>
    </r>
  </si>
  <si>
    <r>
      <t xml:space="preserve">ADJUSTMENT FOR TAX LOSSES </t>
    </r>
    <r>
      <rPr>
        <b/>
        <vertAlign val="superscript"/>
        <sz val="10"/>
        <rFont val="Lora"/>
      </rPr>
      <t>1</t>
    </r>
  </si>
  <si>
    <r>
      <t xml:space="preserve">Less: Use of Tax Losses </t>
    </r>
    <r>
      <rPr>
        <vertAlign val="superscript"/>
        <sz val="9"/>
        <rFont val="Lora"/>
      </rPr>
      <t>2</t>
    </r>
  </si>
  <si>
    <r>
      <t xml:space="preserve">Depreciation </t>
    </r>
    <r>
      <rPr>
        <vertAlign val="superscript"/>
        <sz val="9"/>
        <rFont val="Lora"/>
      </rPr>
      <t>1</t>
    </r>
  </si>
  <si>
    <r>
      <t xml:space="preserve">Deferred Tax </t>
    </r>
    <r>
      <rPr>
        <vertAlign val="superscript"/>
        <sz val="9"/>
        <rFont val="Lora"/>
      </rPr>
      <t>2</t>
    </r>
  </si>
  <si>
    <r>
      <t xml:space="preserve">XNPV Function </t>
    </r>
    <r>
      <rPr>
        <vertAlign val="superscript"/>
        <sz val="9"/>
        <color rgb="FF000000"/>
        <rFont val="Lora"/>
      </rPr>
      <t>1</t>
    </r>
  </si>
  <si>
    <r>
      <t xml:space="preserve">Terminal Value </t>
    </r>
    <r>
      <rPr>
        <vertAlign val="superscript"/>
        <sz val="10"/>
        <rFont val="Lora"/>
      </rPr>
      <t>1</t>
    </r>
  </si>
  <si>
    <r>
      <t xml:space="preserve">XNPV Function </t>
    </r>
    <r>
      <rPr>
        <vertAlign val="superscript"/>
        <sz val="9"/>
        <rFont val="Lora"/>
      </rPr>
      <t>2</t>
    </r>
  </si>
  <si>
    <r>
      <t>75</t>
    </r>
    <r>
      <rPr>
        <vertAlign val="superscript"/>
        <sz val="10"/>
        <color theme="1"/>
        <rFont val="Lora"/>
      </rPr>
      <t>th</t>
    </r>
    <r>
      <rPr>
        <sz val="10"/>
        <color theme="1"/>
        <rFont val="Lora"/>
      </rPr>
      <t xml:space="preserve"> Percentile</t>
    </r>
  </si>
  <si>
    <r>
      <t>25</t>
    </r>
    <r>
      <rPr>
        <vertAlign val="superscript"/>
        <sz val="10"/>
        <color theme="1"/>
        <rFont val="Lora"/>
      </rPr>
      <t>th</t>
    </r>
    <r>
      <rPr>
        <sz val="10"/>
        <color theme="1"/>
        <rFont val="Lora"/>
      </rPr>
      <t xml:space="preserve"> Percentile</t>
    </r>
  </si>
  <si>
    <r>
      <t xml:space="preserve">Terminal EBITDA Multiple </t>
    </r>
    <r>
      <rPr>
        <vertAlign val="superscript"/>
        <sz val="10"/>
        <color theme="1"/>
        <rFont val="Lora"/>
      </rPr>
      <t>1</t>
    </r>
  </si>
  <si>
    <t>Main Outputs</t>
  </si>
  <si>
    <t>Football Field Analysis</t>
  </si>
  <si>
    <t>Table 1:</t>
  </si>
  <si>
    <t>Scenario</t>
  </si>
  <si>
    <t>LT_Growth</t>
  </si>
  <si>
    <t>Terminal_Multiple</t>
  </si>
  <si>
    <t>Rev_CAGR</t>
  </si>
  <si>
    <t>LT_OpMargin</t>
  </si>
  <si>
    <t>FCF_Margin</t>
  </si>
  <si>
    <t>Bull</t>
  </si>
  <si>
    <t>Bear</t>
  </si>
  <si>
    <t>Table 2:</t>
  </si>
  <si>
    <t>Method</t>
  </si>
  <si>
    <t>Type</t>
  </si>
  <si>
    <t>Perpetuity</t>
  </si>
  <si>
    <t>DCF</t>
  </si>
  <si>
    <t>Exit Multiple</t>
  </si>
  <si>
    <t>Relative</t>
  </si>
  <si>
    <t>MULT</t>
  </si>
  <si>
    <t>Table 3:</t>
  </si>
  <si>
    <t>ImpliedPrice</t>
  </si>
  <si>
    <t>Table 4:</t>
  </si>
  <si>
    <t>FCF</t>
  </si>
  <si>
    <t>Cashflow Statement</t>
  </si>
  <si>
    <t>PBI - Export</t>
  </si>
  <si>
    <t>Valuation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</si>
</sst>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3" formatCode="_ * #,##0.00_ ;_ * \-#,##0.00_ ;_ * &quot;-&quot;??_ ;_ @_ "/>
    <numFmt numFmtId="164" formatCode="_-* #,##0.00_-;\-* #,##0.00_-;_-* &quot;-&quot;??_-;_-@_-"/>
    <numFmt numFmtId="165" formatCode="_(#,##0_)_%;\(#,##0\)_%;_(&quot;–&quot;_)_%;_(@_)_%"/>
    <numFmt numFmtId="166" formatCode="yyyy\A"/>
    <numFmt numFmtId="167" formatCode="_(* #,##0.0_);_(* \(#,##0.0\)_)\ ;_(* 0_)"/>
    <numFmt numFmtId="168" formatCode="_(#,##0.0%_);\(#,##0.0%\);_(&quot;–&quot;_)_%;_(@_)_%"/>
    <numFmt numFmtId="169" formatCode="@\⁽\¹\⁾"/>
    <numFmt numFmtId="170" formatCode="_(#,##0_);\(#,##0\);_(&quot;–&quot;_);_(@_)"/>
    <numFmt numFmtId="171" formatCode="_(#,##0.00_);\(#,##0.00\);_(&quot;–&quot;_);_(@_)"/>
    <numFmt numFmtId="172" formatCode="0.0%"/>
    <numFmt numFmtId="173" formatCode="0&quot;A&quot;"/>
    <numFmt numFmtId="174" formatCode="0&quot;F&quot;"/>
    <numFmt numFmtId="175" formatCode="@\⁽\⁴\⁾"/>
    <numFmt numFmtId="176" formatCode="@\⁽\³\⁾"/>
    <numFmt numFmtId="177" formatCode="@\⁽\²\⁾"/>
    <numFmt numFmtId="178" formatCode="_(0.00\x_)_)_';_(\(0.00\x\)_'_';_(&quot;–&quot;_);_(@_)"/>
    <numFmt numFmtId="179" formatCode="_(#,##0_)\⁽\²\⁾;\(#,##0\)\⁽\²\⁾;_(&quot;–&quot;_)\⁽\²\⁾;_(@_)\⁽\²\⁾"/>
    <numFmt numFmtId="180" formatCode="_(#,##0_)\⁽\¹\⁾;\(#,##0\)\⁽\¹\⁾;_(&quot;–&quot;_)\⁽\¹\⁾;_(@_)\⁽\¹\⁾"/>
    <numFmt numFmtId="181" formatCode="_(\$#,##0.0#_);_(\(\$#,##0.0#\)_);_(\$&quot; - &quot;_)"/>
    <numFmt numFmtId="182" formatCode="_(* #,##0.0#_);_(* \(#,##0.0#\)_)\ ;_(* 0_)"/>
    <numFmt numFmtId="183" formatCode="_(#,##0.0%_);_(\(#,##0.0%\)_);_(#,##0.0%_)"/>
    <numFmt numFmtId="184" formatCode="_(* #,##0.0##_);_(* \(#,##0.0##\)_)\ ;_(* 0_)"/>
    <numFmt numFmtId="185" formatCode="mmm\-dd\-yyyy"/>
    <numFmt numFmtId="186" formatCode="_(* #,##0_);_(* \(#,##0\)_)\ ;_(* 0_)"/>
    <numFmt numFmtId="187" formatCode="yyyy/mm/dd;@"/>
    <numFmt numFmtId="188" formatCode="_(#,##0.0_);\(#,##0.0\);_(&quot;–&quot;_);_(@_)"/>
    <numFmt numFmtId="189" formatCode="#,##0_);\(#,##0\);\-"/>
    <numFmt numFmtId="190" formatCode="_-* #,##0_-;\-* #,##0_-;_-* &quot;-&quot;??_-;_-@_-"/>
    <numFmt numFmtId="191" formatCode="0.0%;\ \(0.0%\)"/>
    <numFmt numFmtId="192" formatCode="&quot;Yr&quot;\ 0_)"/>
    <numFmt numFmtId="193" formatCode="_(#,##0%_);\(#,##0%\);_(&quot;–&quot;_)_%;_(@_)_%"/>
    <numFmt numFmtId="194" formatCode="0&quot;F&quot;\ "/>
    <numFmt numFmtId="195" formatCode="#,##0.00_);\(#,##0.00\);\-"/>
    <numFmt numFmtId="196" formatCode="&quot;Yes&quot;;&quot;ERROR&quot;;&quot;No&quot;;&quot;ERROR&quot;"/>
    <numFmt numFmtId="197" formatCode="#,##0.0_);\(#,##0.0\);\-"/>
    <numFmt numFmtId="198" formatCode="[=1]&quot;Yes&quot;_);[=0]&quot;No&quot;_)"/>
    <numFmt numFmtId="199" formatCode="_(0.0000\x_);\(0.0000\x\);_(&quot;–&quot;_);_(@_)"/>
    <numFmt numFmtId="200" formatCode="_(0.0\x_);\(0.0\x\);_(&quot;–&quot;_);_(@_)"/>
    <numFmt numFmtId="201" formatCode="_-* #,##0_-;\(#,##0\)_-;_-* &quot;-&quot;_-;_-@_-"/>
    <numFmt numFmtId="202" formatCode="0.00\x"/>
    <numFmt numFmtId="203" formatCode="yy/mm/dd"/>
    <numFmt numFmtId="204" formatCode="yyyy/mm/dd_)"/>
    <numFmt numFmtId="205" formatCode="0000_)"/>
    <numFmt numFmtId="206" formatCode="&quot;Yes&quot;_);&quot;ERROR&quot;_);&quot;No&quot;_);&quot;ERROR&quot;_)"/>
    <numFmt numFmtId="207" formatCode="#,##0.0"/>
    <numFmt numFmtId="208" formatCode="0.0\x"/>
    <numFmt numFmtId="209" formatCode="#,##0;\(#,##0\)"/>
    <numFmt numFmtId="210" formatCode="dd/mmm/yyyy"/>
    <numFmt numFmtId="211" formatCode="0.0"/>
    <numFmt numFmtId="212" formatCode="0\x"/>
  </numFmts>
  <fonts count="10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Bookman"/>
      <family val="1"/>
    </font>
    <font>
      <sz val="11"/>
      <color theme="1"/>
      <name val="Arial Narrow"/>
      <family val="2"/>
    </font>
    <font>
      <sz val="10"/>
      <color theme="1"/>
      <name val="Lora"/>
    </font>
    <font>
      <sz val="10"/>
      <color theme="1"/>
      <name val="Open Sans"/>
      <family val="2"/>
    </font>
    <font>
      <sz val="10"/>
      <color theme="0"/>
      <name val="Open Sans"/>
      <family val="2"/>
    </font>
    <font>
      <sz val="11"/>
      <color theme="1"/>
      <name val="Open Sans"/>
      <family val="2"/>
    </font>
    <font>
      <u/>
      <sz val="10"/>
      <color theme="10"/>
      <name val="Arial"/>
      <family val="2"/>
    </font>
    <font>
      <sz val="10"/>
      <color rgb="FF000000"/>
      <name val="Open Sans"/>
      <family val="2"/>
    </font>
    <font>
      <b/>
      <sz val="10"/>
      <name val="Open Sans"/>
      <family val="2"/>
    </font>
    <font>
      <sz val="10"/>
      <color rgb="FF000000"/>
      <name val="Lora"/>
    </font>
    <font>
      <sz val="10"/>
      <name val="Lora"/>
    </font>
    <font>
      <sz val="1"/>
      <color indexed="9"/>
      <name val="Symbol"/>
      <family val="1"/>
      <charset val="2"/>
    </font>
    <font>
      <b/>
      <sz val="22"/>
      <color theme="2" tint="-9.9978637043366805E-2"/>
      <name val="Lora"/>
    </font>
    <font>
      <b/>
      <sz val="10"/>
      <color indexed="8"/>
      <name val="Lora"/>
    </font>
    <font>
      <sz val="10"/>
      <color indexed="8"/>
      <name val="Lora"/>
    </font>
    <font>
      <b/>
      <u val="double"/>
      <sz val="10"/>
      <color indexed="8"/>
      <name val="Lora"/>
    </font>
    <font>
      <b/>
      <sz val="10"/>
      <color theme="0"/>
      <name val="Lora"/>
    </font>
    <font>
      <b/>
      <i/>
      <sz val="10"/>
      <color theme="0"/>
      <name val="Lora"/>
    </font>
    <font>
      <b/>
      <sz val="14"/>
      <color indexed="9"/>
      <name val="Lora"/>
    </font>
    <font>
      <sz val="14"/>
      <color indexed="9"/>
      <name val="Lora"/>
    </font>
    <font>
      <sz val="14"/>
      <name val="Lora"/>
    </font>
    <font>
      <b/>
      <sz val="10"/>
      <color theme="2" tint="-0.249977111117893"/>
      <name val="Lora"/>
    </font>
    <font>
      <b/>
      <u/>
      <sz val="10"/>
      <color indexed="8"/>
      <name val="Lora"/>
    </font>
    <font>
      <b/>
      <sz val="14"/>
      <color theme="0"/>
      <name val="Open Sans"/>
      <family val="2"/>
    </font>
    <font>
      <i/>
      <sz val="9"/>
      <color indexed="8"/>
      <name val="Lora"/>
    </font>
    <font>
      <b/>
      <sz val="10"/>
      <color theme="1"/>
      <name val="Lora"/>
    </font>
    <font>
      <sz val="10"/>
      <color theme="9"/>
      <name val="Lora"/>
    </font>
    <font>
      <b/>
      <sz val="26"/>
      <color theme="2" tint="-0.249977111117893"/>
      <name val="Lora"/>
    </font>
    <font>
      <b/>
      <sz val="14"/>
      <color theme="0"/>
      <name val="Lora"/>
    </font>
    <font>
      <sz val="10"/>
      <color theme="0"/>
      <name val="Lora"/>
    </font>
    <font>
      <b/>
      <sz val="14"/>
      <color rgb="FF0000FF"/>
      <name val="Lora"/>
    </font>
    <font>
      <i/>
      <sz val="9"/>
      <name val="Lora"/>
    </font>
    <font>
      <b/>
      <sz val="10"/>
      <name val="Lora"/>
    </font>
    <font>
      <b/>
      <sz val="10"/>
      <color rgb="FF3271D2"/>
      <name val="Lora"/>
    </font>
    <font>
      <b/>
      <sz val="10"/>
      <color rgb="FF000000"/>
      <name val="Lora"/>
    </font>
    <font>
      <sz val="12"/>
      <color theme="1"/>
      <name val="Lora"/>
    </font>
    <font>
      <i/>
      <sz val="10"/>
      <color theme="1"/>
      <name val="Lora"/>
    </font>
    <font>
      <sz val="10"/>
      <color rgb="FF0000FF"/>
      <name val="Lora"/>
    </font>
    <font>
      <sz val="10"/>
      <color rgb="FF3271D2"/>
      <name val="Lora"/>
    </font>
    <font>
      <i/>
      <sz val="10"/>
      <name val="Lora"/>
    </font>
    <font>
      <i/>
      <sz val="8"/>
      <color theme="1"/>
      <name val="Lora"/>
    </font>
    <font>
      <sz val="11"/>
      <color theme="1"/>
      <name val="Lora"/>
    </font>
    <font>
      <sz val="11"/>
      <color theme="0"/>
      <name val="Lora"/>
    </font>
    <font>
      <b/>
      <sz val="11"/>
      <color theme="0"/>
      <name val="Lora"/>
    </font>
    <font>
      <sz val="11"/>
      <name val="Lora"/>
    </font>
    <font>
      <i/>
      <sz val="10"/>
      <color rgb="FF000000"/>
      <name val="Lora"/>
    </font>
    <font>
      <i/>
      <sz val="11"/>
      <color theme="1"/>
      <name val="Lora"/>
    </font>
    <font>
      <b/>
      <sz val="11"/>
      <color theme="1"/>
      <name val="Lora"/>
    </font>
    <font>
      <b/>
      <sz val="11"/>
      <name val="Lora"/>
    </font>
    <font>
      <sz val="9"/>
      <color rgb="FF000000"/>
      <name val="Lora"/>
    </font>
    <font>
      <i/>
      <sz val="9"/>
      <color rgb="FF000000"/>
      <name val="Lora"/>
    </font>
    <font>
      <u/>
      <sz val="11"/>
      <color theme="10"/>
      <name val="Aptos Narrow"/>
      <family val="2"/>
      <scheme val="minor"/>
    </font>
    <font>
      <sz val="11"/>
      <name val="Open Sans"/>
      <family val="2"/>
    </font>
    <font>
      <b/>
      <sz val="20"/>
      <color rgb="FF4472C4"/>
      <name val="Open Sans"/>
      <family val="2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u/>
      <sz val="12"/>
      <color theme="10"/>
      <name val="Open Sans"/>
      <family val="2"/>
    </font>
    <font>
      <sz val="12"/>
      <color rgb="FF000000"/>
      <name val="Open Sans"/>
      <family val="2"/>
    </font>
    <font>
      <sz val="12"/>
      <color theme="1"/>
      <name val="Open Sans"/>
      <family val="2"/>
    </font>
    <font>
      <sz val="12"/>
      <color rgb="FF002060"/>
      <name val="Open Sans"/>
      <family val="2"/>
    </font>
    <font>
      <b/>
      <sz val="12"/>
      <color theme="0"/>
      <name val="Open Sans"/>
      <family val="2"/>
    </font>
    <font>
      <sz val="11"/>
      <color theme="0"/>
      <name val="Open Sans"/>
      <family val="2"/>
    </font>
    <font>
      <sz val="10"/>
      <name val="Arial"/>
      <family val="2"/>
    </font>
    <font>
      <i/>
      <sz val="11"/>
      <color theme="1"/>
      <name val="Open Sans"/>
      <family val="2"/>
    </font>
    <font>
      <b/>
      <sz val="10"/>
      <color indexed="9"/>
      <name val="Lora"/>
    </font>
    <font>
      <b/>
      <sz val="16"/>
      <color theme="0"/>
      <name val="Lora"/>
    </font>
    <font>
      <sz val="14"/>
      <color theme="1"/>
      <name val="Lora"/>
    </font>
    <font>
      <sz val="11"/>
      <color rgb="FFC32838"/>
      <name val="Lora"/>
    </font>
    <font>
      <b/>
      <sz val="10"/>
      <color rgb="FF555555"/>
      <name val="Lora"/>
    </font>
    <font>
      <sz val="14"/>
      <color rgb="FF555555"/>
      <name val="Lora"/>
    </font>
    <font>
      <i/>
      <sz val="9"/>
      <color theme="1"/>
      <name val="Lora"/>
    </font>
    <font>
      <sz val="11"/>
      <color rgb="FF555555"/>
      <name val="Lora"/>
    </font>
    <font>
      <sz val="11"/>
      <color rgb="FF000000"/>
      <name val="Lora"/>
    </font>
    <font>
      <sz val="9"/>
      <color theme="0"/>
      <name val="Lora"/>
    </font>
    <font>
      <sz val="9"/>
      <name val="Lora"/>
    </font>
    <font>
      <b/>
      <sz val="14"/>
      <color rgb="FF3271D2"/>
      <name val="Lora"/>
    </font>
    <font>
      <b/>
      <i/>
      <sz val="10"/>
      <color rgb="FF3271D2"/>
      <name val="Lora"/>
    </font>
    <font>
      <sz val="14"/>
      <color rgb="FF000000"/>
      <name val="Lora"/>
    </font>
    <font>
      <i/>
      <sz val="8"/>
      <name val="Lora"/>
    </font>
    <font>
      <i/>
      <sz val="10"/>
      <color rgb="FF3271D2"/>
      <name val="Lora"/>
    </font>
    <font>
      <b/>
      <vertAlign val="superscript"/>
      <sz val="10"/>
      <name val="Lora"/>
    </font>
    <font>
      <b/>
      <vertAlign val="superscript"/>
      <sz val="9"/>
      <name val="Lora"/>
    </font>
    <font>
      <b/>
      <vertAlign val="superscript"/>
      <sz val="10"/>
      <color rgb="FF000000"/>
      <name val="Lora"/>
    </font>
    <font>
      <b/>
      <sz val="10"/>
      <color rgb="FFFFFFFF"/>
      <name val="Lora"/>
    </font>
    <font>
      <sz val="10"/>
      <color rgb="FFFA621C"/>
      <name val="Lora"/>
    </font>
    <font>
      <vertAlign val="superscript"/>
      <sz val="9"/>
      <name val="Lora"/>
    </font>
    <font>
      <b/>
      <i/>
      <sz val="10"/>
      <name val="Lora"/>
    </font>
    <font>
      <b/>
      <sz val="9"/>
      <color rgb="FF000000"/>
      <name val="Lora"/>
    </font>
    <font>
      <sz val="8"/>
      <name val="Lora"/>
    </font>
    <font>
      <sz val="10"/>
      <color rgb="FFC32838"/>
      <name val="Lora"/>
    </font>
    <font>
      <vertAlign val="superscript"/>
      <sz val="9"/>
      <color rgb="FF000000"/>
      <name val="Lora"/>
    </font>
    <font>
      <i/>
      <sz val="8"/>
      <color rgb="FF000000"/>
      <name val="Lora"/>
    </font>
    <font>
      <vertAlign val="superscript"/>
      <sz val="10"/>
      <name val="Lora"/>
    </font>
    <font>
      <vertAlign val="superscript"/>
      <sz val="10"/>
      <color theme="1"/>
      <name val="Lora"/>
    </font>
    <font>
      <i/>
      <sz val="11"/>
      <color rgb="FF000000"/>
      <name val="Lora"/>
    </font>
    <font>
      <sz val="10"/>
      <color theme="9" tint="-0.499984740745262"/>
      <name val="Lora"/>
    </font>
    <font>
      <sz val="10"/>
      <color rgb="FF4FAB2F"/>
      <name val="Lora"/>
    </font>
    <font>
      <b/>
      <sz val="11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rgb="FF000000"/>
      </patternFill>
    </fill>
    <fill>
      <patternFill patternType="solid">
        <fgColor rgb="FF000C3F"/>
        <bgColor indexed="64"/>
      </patternFill>
    </fill>
    <fill>
      <patternFill patternType="solid">
        <fgColor rgb="FF000C3F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0" tint="-0.14999847407452621"/>
        <bgColor indexed="64"/>
      </patternFill>
    </fill>
  </fills>
  <borders count="1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3271D2"/>
      </top>
      <bottom/>
      <diagonal/>
    </border>
    <border>
      <left/>
      <right/>
      <top style="medium">
        <color rgb="FF3271D2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dotted">
        <color theme="0" tint="-0.34998626667073579"/>
      </right>
      <top style="hair">
        <color rgb="FF000000"/>
      </top>
      <bottom style="hair">
        <color rgb="FF000000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hair">
        <color rgb="FF000000"/>
      </left>
      <right/>
      <top style="hair">
        <color rgb="FF000000"/>
      </top>
      <bottom style="dotted">
        <color indexed="64"/>
      </bottom>
      <diagonal/>
    </border>
    <border>
      <left/>
      <right style="hair">
        <color rgb="FF000000"/>
      </right>
      <top style="hair">
        <color rgb="FF000000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hair">
        <color rgb="FF000000"/>
      </top>
      <bottom/>
      <diagonal/>
    </border>
    <border>
      <left/>
      <right style="dotted">
        <color indexed="64"/>
      </right>
      <top/>
      <bottom style="hair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auto="1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medium">
        <color rgb="FF000C3F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947131"/>
      </right>
      <top style="thin">
        <color rgb="FF947131"/>
      </top>
      <bottom style="thin">
        <color rgb="FF947131"/>
      </bottom>
      <diagonal/>
    </border>
    <border>
      <left/>
      <right/>
      <top style="thin">
        <color rgb="FF947131"/>
      </top>
      <bottom style="thin">
        <color rgb="FF947131"/>
      </bottom>
      <diagonal/>
    </border>
    <border>
      <left style="thin">
        <color rgb="FF947131"/>
      </left>
      <right/>
      <top style="thin">
        <color rgb="FF947131"/>
      </top>
      <bottom style="thin">
        <color rgb="FF94713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rgb="FF000000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 style="thin">
        <color theme="9" tint="-0.499984740745262"/>
      </left>
      <right/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/>
      <top style="hair">
        <color theme="9" tint="-0.499984740745262"/>
      </top>
      <bottom/>
      <diagonal/>
    </border>
    <border>
      <left style="thin">
        <color rgb="FF3271D2"/>
      </left>
      <right/>
      <top style="thin">
        <color rgb="FF3271D2"/>
      </top>
      <bottom/>
      <diagonal/>
    </border>
    <border>
      <left style="thin">
        <color rgb="FF3271D2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rgb="FF3271D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 style="thin">
        <color rgb="FF3271D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rgb="FF3271D2"/>
      </top>
      <bottom/>
      <diagonal/>
    </border>
    <border>
      <left style="thin">
        <color rgb="FF3271D2"/>
      </left>
      <right style="thin">
        <color theme="9" tint="-0.499984740745262"/>
      </right>
      <top style="thin">
        <color rgb="FF3271D2"/>
      </top>
      <bottom/>
      <diagonal/>
    </border>
    <border>
      <left style="thin">
        <color rgb="FF3271D2"/>
      </left>
      <right style="thin">
        <color theme="9" tint="-0.499984740745262"/>
      </right>
      <top/>
      <bottom/>
      <diagonal/>
    </border>
    <border>
      <left style="thin">
        <color rgb="FF3271D2"/>
      </left>
      <right/>
      <top/>
      <bottom style="thin">
        <color theme="9" tint="-0.499984740745262"/>
      </bottom>
      <diagonal/>
    </border>
    <border>
      <left style="thin">
        <color rgb="FF3271D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/>
      <right/>
      <top/>
      <bottom style="hair">
        <color theme="9" tint="-0.499984740745262"/>
      </bottom>
      <diagonal/>
    </border>
    <border>
      <left/>
      <right/>
      <top/>
      <bottom style="thin">
        <color rgb="FF3271D2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9" tint="-0.499984740745262"/>
      </top>
      <bottom style="medium">
        <color theme="9" tint="-0.499984740745262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13" fillId="0" borderId="0" applyAlignment="0"/>
    <xf numFmtId="0" fontId="5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4" fillId="0" borderId="0"/>
    <xf numFmtId="43" fontId="3" fillId="0" borderId="0" applyFont="0" applyFill="0" applyBorder="0" applyAlignment="0" applyProtection="0"/>
  </cellStyleXfs>
  <cellXfs count="723">
    <xf numFmtId="0" fontId="0" fillId="0" borderId="0" xfId="0"/>
    <xf numFmtId="0" fontId="4" fillId="0" borderId="0" xfId="0" applyFont="1"/>
    <xf numFmtId="0" fontId="4" fillId="2" borderId="0" xfId="0" applyFont="1" applyFill="1"/>
    <xf numFmtId="0" fontId="11" fillId="0" borderId="0" xfId="0" applyFont="1" applyAlignment="1">
      <alignment horizontal="left" vertical="center"/>
    </xf>
    <xf numFmtId="0" fontId="7" fillId="0" borderId="0" xfId="0" applyFont="1"/>
    <xf numFmtId="37" fontId="12" fillId="0" borderId="0" xfId="0" applyNumberFormat="1" applyFont="1" applyAlignment="1">
      <alignment horizontal="left" vertical="center"/>
    </xf>
    <xf numFmtId="0" fontId="4" fillId="0" borderId="6" xfId="0" applyFont="1" applyBorder="1"/>
    <xf numFmtId="0" fontId="14" fillId="2" borderId="0" xfId="0" applyFont="1" applyFill="1"/>
    <xf numFmtId="0" fontId="12" fillId="0" borderId="0" xfId="0" applyFont="1"/>
    <xf numFmtId="0" fontId="12" fillId="0" borderId="0" xfId="0" applyFont="1" applyAlignment="1">
      <alignment horizontal="left"/>
    </xf>
    <xf numFmtId="0" fontId="21" fillId="0" borderId="0" xfId="8" applyFont="1" applyAlignment="1"/>
    <xf numFmtId="0" fontId="22" fillId="0" borderId="0" xfId="0" applyFont="1"/>
    <xf numFmtId="0" fontId="23" fillId="3" borderId="0" xfId="0" applyFont="1" applyFill="1" applyAlignment="1">
      <alignment horizontal="left"/>
    </xf>
    <xf numFmtId="170" fontId="9" fillId="0" borderId="0" xfId="0" applyNumberFormat="1" applyFont="1"/>
    <xf numFmtId="170" fontId="10" fillId="0" borderId="0" xfId="0" applyNumberFormat="1" applyFont="1" applyAlignment="1">
      <alignment horizontal="right"/>
    </xf>
    <xf numFmtId="0" fontId="4" fillId="0" borderId="22" xfId="0" applyFont="1" applyBorder="1"/>
    <xf numFmtId="10" fontId="4" fillId="0" borderId="0" xfId="0" applyNumberFormat="1" applyFont="1"/>
    <xf numFmtId="10" fontId="4" fillId="0" borderId="27" xfId="0" applyNumberFormat="1" applyFont="1" applyBorder="1"/>
    <xf numFmtId="168" fontId="4" fillId="0" borderId="0" xfId="0" applyNumberFormat="1" applyFont="1"/>
    <xf numFmtId="10" fontId="28" fillId="6" borderId="0" xfId="0" applyNumberFormat="1" applyFont="1" applyFill="1"/>
    <xf numFmtId="0" fontId="29" fillId="3" borderId="0" xfId="0" applyFont="1" applyFill="1" applyAlignment="1">
      <alignment horizontal="left"/>
    </xf>
    <xf numFmtId="37" fontId="30" fillId="8" borderId="0" xfId="0" applyNumberFormat="1" applyFont="1" applyFill="1" applyAlignment="1">
      <alignment vertical="center"/>
    </xf>
    <xf numFmtId="37" fontId="18" fillId="8" borderId="0" xfId="0" applyNumberFormat="1" applyFont="1" applyFill="1" applyAlignment="1">
      <alignment vertical="center"/>
    </xf>
    <xf numFmtId="37" fontId="31" fillId="8" borderId="0" xfId="0" applyNumberFormat="1" applyFont="1" applyFill="1" applyAlignment="1">
      <alignment vertical="center"/>
    </xf>
    <xf numFmtId="173" fontId="18" fillId="8" borderId="0" xfId="0" applyNumberFormat="1" applyFont="1" applyFill="1" applyAlignment="1">
      <alignment horizontal="right"/>
    </xf>
    <xf numFmtId="37" fontId="32" fillId="0" borderId="0" xfId="0" applyNumberFormat="1" applyFont="1" applyAlignment="1">
      <alignment vertical="center"/>
    </xf>
    <xf numFmtId="37" fontId="18" fillId="0" borderId="0" xfId="0" applyNumberFormat="1" applyFont="1" applyAlignment="1">
      <alignment vertical="center"/>
    </xf>
    <xf numFmtId="37" fontId="31" fillId="0" borderId="0" xfId="0" applyNumberFormat="1" applyFont="1" applyAlignment="1">
      <alignment vertical="center"/>
    </xf>
    <xf numFmtId="173" fontId="18" fillId="0" borderId="0" xfId="0" applyNumberFormat="1" applyFont="1" applyAlignment="1">
      <alignment horizontal="right"/>
    </xf>
    <xf numFmtId="165" fontId="33" fillId="0" borderId="0" xfId="0" applyNumberFormat="1" applyFont="1" applyAlignment="1">
      <alignment vertical="center"/>
    </xf>
    <xf numFmtId="173" fontId="34" fillId="0" borderId="0" xfId="0" applyNumberFormat="1" applyFont="1" applyAlignment="1">
      <alignment horizontal="right"/>
    </xf>
    <xf numFmtId="173" fontId="35" fillId="0" borderId="0" xfId="0" applyNumberFormat="1" applyFont="1" applyAlignment="1">
      <alignment horizontal="right"/>
    </xf>
    <xf numFmtId="0" fontId="36" fillId="0" borderId="0" xfId="0" applyFont="1" applyAlignment="1">
      <alignment horizontal="left"/>
    </xf>
    <xf numFmtId="0" fontId="37" fillId="0" borderId="0" xfId="0" applyFont="1"/>
    <xf numFmtId="0" fontId="4" fillId="0" borderId="0" xfId="0" applyFont="1" applyAlignment="1">
      <alignment vertical="center"/>
    </xf>
    <xf numFmtId="0" fontId="38" fillId="0" borderId="0" xfId="0" applyFont="1" applyAlignment="1">
      <alignment horizontal="right" vertical="center"/>
    </xf>
    <xf numFmtId="187" fontId="39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left" indent="1"/>
    </xf>
    <xf numFmtId="0" fontId="11" fillId="0" borderId="0" xfId="0" applyFont="1" applyAlignment="1">
      <alignment vertical="center"/>
    </xf>
    <xf numFmtId="168" fontId="36" fillId="0" borderId="7" xfId="5" applyNumberFormat="1" applyFont="1" applyFill="1" applyBorder="1" applyAlignment="1">
      <alignment vertical="center"/>
    </xf>
    <xf numFmtId="168" fontId="36" fillId="0" borderId="8" xfId="5" applyNumberFormat="1" applyFont="1" applyFill="1" applyBorder="1" applyAlignment="1">
      <alignment vertical="center"/>
    </xf>
    <xf numFmtId="168" fontId="36" fillId="0" borderId="9" xfId="5" applyNumberFormat="1" applyFont="1" applyFill="1" applyBorder="1" applyAlignment="1">
      <alignment vertical="center"/>
    </xf>
    <xf numFmtId="172" fontId="4" fillId="0" borderId="0" xfId="0" applyNumberFormat="1" applyFont="1" applyAlignment="1">
      <alignment vertical="center"/>
    </xf>
    <xf numFmtId="172" fontId="38" fillId="0" borderId="0" xfId="0" applyNumberFormat="1" applyFont="1" applyAlignment="1">
      <alignment horizontal="right" vertical="center"/>
    </xf>
    <xf numFmtId="172" fontId="39" fillId="0" borderId="0" xfId="0" applyNumberFormat="1" applyFont="1" applyAlignment="1">
      <alignment horizontal="right" vertical="center"/>
    </xf>
    <xf numFmtId="172" fontId="37" fillId="0" borderId="0" xfId="0" applyNumberFormat="1" applyFont="1"/>
    <xf numFmtId="0" fontId="4" fillId="0" borderId="0" xfId="0" applyFont="1" applyAlignment="1">
      <alignment horizontal="left" vertical="center" indent="2"/>
    </xf>
    <xf numFmtId="0" fontId="12" fillId="0" borderId="0" xfId="0" applyFont="1" applyAlignment="1">
      <alignment vertical="center"/>
    </xf>
    <xf numFmtId="168" fontId="40" fillId="0" borderId="0" xfId="0" applyNumberFormat="1" applyFont="1" applyAlignment="1">
      <alignment vertical="center"/>
    </xf>
    <xf numFmtId="0" fontId="12" fillId="0" borderId="0" xfId="0" applyFont="1" applyAlignment="1">
      <alignment horizontal="right" vertical="center"/>
    </xf>
    <xf numFmtId="172" fontId="41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vertical="center"/>
    </xf>
    <xf numFmtId="168" fontId="41" fillId="0" borderId="0" xfId="0" applyNumberFormat="1" applyFont="1" applyAlignment="1">
      <alignment horizontal="right" vertical="center"/>
    </xf>
    <xf numFmtId="168" fontId="39" fillId="0" borderId="0" xfId="0" applyNumberFormat="1" applyFont="1" applyAlignment="1">
      <alignment horizontal="right" vertical="center"/>
    </xf>
    <xf numFmtId="168" fontId="37" fillId="0" borderId="0" xfId="0" applyNumberFormat="1" applyFont="1"/>
    <xf numFmtId="173" fontId="30" fillId="0" borderId="0" xfId="0" applyNumberFormat="1" applyFont="1" applyAlignment="1">
      <alignment horizontal="right" vertical="center"/>
    </xf>
    <xf numFmtId="170" fontId="4" fillId="0" borderId="0" xfId="0" applyNumberFormat="1" applyFont="1" applyAlignment="1">
      <alignment horizontal="right" vertical="center"/>
    </xf>
    <xf numFmtId="170" fontId="41" fillId="0" borderId="0" xfId="0" applyNumberFormat="1" applyFont="1" applyAlignment="1">
      <alignment horizontal="right" vertical="center"/>
    </xf>
    <xf numFmtId="170" fontId="39" fillId="0" borderId="0" xfId="0" applyNumberFormat="1" applyFont="1" applyAlignment="1">
      <alignment horizontal="right" vertical="center"/>
    </xf>
    <xf numFmtId="170" fontId="37" fillId="0" borderId="0" xfId="0" applyNumberFormat="1" applyFont="1" applyAlignment="1">
      <alignment horizontal="right"/>
    </xf>
    <xf numFmtId="170" fontId="40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indent="2"/>
    </xf>
    <xf numFmtId="0" fontId="42" fillId="0" borderId="0" xfId="0" quotePrefix="1" applyFont="1" applyAlignment="1">
      <alignment horizontal="center" vertical="center"/>
    </xf>
    <xf numFmtId="174" fontId="34" fillId="0" borderId="0" xfId="0" applyNumberFormat="1" applyFont="1" applyAlignment="1">
      <alignment horizontal="right"/>
    </xf>
    <xf numFmtId="0" fontId="36" fillId="0" borderId="6" xfId="0" applyFont="1" applyBorder="1" applyAlignment="1">
      <alignment horizontal="left"/>
    </xf>
    <xf numFmtId="0" fontId="43" fillId="0" borderId="6" xfId="0" applyFont="1" applyBorder="1"/>
    <xf numFmtId="37" fontId="18" fillId="0" borderId="6" xfId="0" applyNumberFormat="1" applyFont="1" applyBorder="1" applyAlignment="1">
      <alignment vertical="center"/>
    </xf>
    <xf numFmtId="0" fontId="43" fillId="0" borderId="0" xfId="0" applyFont="1"/>
    <xf numFmtId="168" fontId="11" fillId="0" borderId="0" xfId="0" applyNumberFormat="1" applyFont="1"/>
    <xf numFmtId="168" fontId="12" fillId="0" borderId="0" xfId="0" applyNumberFormat="1" applyFont="1"/>
    <xf numFmtId="0" fontId="44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0" fontId="45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/>
    </xf>
    <xf numFmtId="170" fontId="18" fillId="2" borderId="3" xfId="0" applyNumberFormat="1" applyFont="1" applyFill="1" applyBorder="1" applyAlignment="1">
      <alignment horizontal="center"/>
    </xf>
    <xf numFmtId="0" fontId="18" fillId="2" borderId="0" xfId="0" applyFont="1" applyFill="1" applyAlignment="1">
      <alignment horizontal="left"/>
    </xf>
    <xf numFmtId="49" fontId="18" fillId="2" borderId="0" xfId="0" applyNumberFormat="1" applyFont="1" applyFill="1" applyAlignment="1">
      <alignment horizontal="left"/>
    </xf>
    <xf numFmtId="170" fontId="18" fillId="2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center"/>
    </xf>
    <xf numFmtId="170" fontId="18" fillId="2" borderId="0" xfId="0" applyNumberFormat="1" applyFont="1" applyFill="1" applyAlignment="1">
      <alignment horizontal="center"/>
    </xf>
    <xf numFmtId="0" fontId="36" fillId="0" borderId="4" xfId="0" applyFont="1" applyBorder="1" applyAlignment="1">
      <alignment horizontal="left"/>
    </xf>
    <xf numFmtId="170" fontId="36" fillId="0" borderId="4" xfId="0" applyNumberFormat="1" applyFont="1" applyBorder="1" applyAlignment="1">
      <alignment horizontal="right"/>
    </xf>
    <xf numFmtId="180" fontId="36" fillId="0" borderId="4" xfId="0" applyNumberFormat="1" applyFont="1" applyBorder="1" applyAlignment="1">
      <alignment horizontal="right"/>
    </xf>
    <xf numFmtId="170" fontId="36" fillId="0" borderId="4" xfId="0" applyNumberFormat="1" applyFont="1" applyBorder="1" applyAlignment="1">
      <alignment horizontal="center"/>
    </xf>
    <xf numFmtId="179" fontId="36" fillId="0" borderId="4" xfId="0" applyNumberFormat="1" applyFont="1" applyBorder="1" applyAlignment="1">
      <alignment horizontal="center"/>
    </xf>
    <xf numFmtId="37" fontId="40" fillId="0" borderId="0" xfId="0" applyNumberFormat="1" applyFont="1" applyAlignment="1">
      <alignment horizontal="left" vertical="center"/>
    </xf>
    <xf numFmtId="170" fontId="28" fillId="6" borderId="0" xfId="0" applyNumberFormat="1" applyFont="1" applyFill="1" applyAlignment="1">
      <alignment horizontal="right" vertical="center"/>
    </xf>
    <xf numFmtId="168" fontId="28" fillId="6" borderId="0" xfId="0" applyNumberFormat="1" applyFont="1" applyFill="1" applyAlignment="1">
      <alignment horizontal="center" vertical="center"/>
    </xf>
    <xf numFmtId="172" fontId="11" fillId="0" borderId="0" xfId="5" applyNumberFormat="1" applyFont="1" applyFill="1" applyBorder="1" applyAlignment="1">
      <alignment horizontal="center" vertical="center"/>
    </xf>
    <xf numFmtId="171" fontId="28" fillId="6" borderId="0" xfId="0" applyNumberFormat="1" applyFont="1" applyFill="1" applyAlignment="1">
      <alignment horizontal="center" vertical="center"/>
    </xf>
    <xf numFmtId="171" fontId="12" fillId="7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left"/>
    </xf>
    <xf numFmtId="178" fontId="11" fillId="0" borderId="0" xfId="0" applyNumberFormat="1" applyFont="1" applyAlignment="1">
      <alignment horizontal="center" vertical="center"/>
    </xf>
    <xf numFmtId="171" fontId="40" fillId="0" borderId="0" xfId="0" applyNumberFormat="1" applyFont="1" applyAlignment="1">
      <alignment horizontal="right" vertical="center"/>
    </xf>
    <xf numFmtId="168" fontId="11" fillId="0" borderId="0" xfId="0" applyNumberFormat="1" applyFont="1" applyAlignment="1">
      <alignment vertical="center"/>
    </xf>
    <xf numFmtId="172" fontId="11" fillId="0" borderId="0" xfId="5" applyNumberFormat="1" applyFont="1" applyBorder="1" applyAlignment="1">
      <alignment vertical="center"/>
    </xf>
    <xf numFmtId="171" fontId="11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center"/>
    </xf>
    <xf numFmtId="171" fontId="40" fillId="0" borderId="0" xfId="0" applyNumberFormat="1" applyFont="1"/>
    <xf numFmtId="171" fontId="12" fillId="0" borderId="0" xfId="0" applyNumberFormat="1" applyFont="1"/>
    <xf numFmtId="0" fontId="18" fillId="2" borderId="2" xfId="0" applyFont="1" applyFill="1" applyBorder="1" applyAlignment="1">
      <alignment horizontal="left"/>
    </xf>
    <xf numFmtId="0" fontId="44" fillId="2" borderId="2" xfId="0" applyFont="1" applyFill="1" applyBorder="1"/>
    <xf numFmtId="37" fontId="18" fillId="2" borderId="2" xfId="0" applyNumberFormat="1" applyFont="1" applyFill="1" applyBorder="1" applyAlignment="1">
      <alignment vertical="center"/>
    </xf>
    <xf numFmtId="0" fontId="38" fillId="0" borderId="3" xfId="0" applyFont="1" applyBorder="1" applyAlignment="1">
      <alignment vertical="center"/>
    </xf>
    <xf numFmtId="0" fontId="11" fillId="0" borderId="0" xfId="0" applyFont="1" applyAlignment="1">
      <alignment horizontal="left" indent="1"/>
    </xf>
    <xf numFmtId="168" fontId="28" fillId="6" borderId="0" xfId="0" applyNumberFormat="1" applyFont="1" applyFill="1" applyAlignment="1">
      <alignment vertical="center"/>
    </xf>
    <xf numFmtId="0" fontId="46" fillId="0" borderId="0" xfId="0" applyFont="1"/>
    <xf numFmtId="10" fontId="43" fillId="0" borderId="0" xfId="0" applyNumberFormat="1" applyFont="1"/>
    <xf numFmtId="2" fontId="28" fillId="6" borderId="2" xfId="0" applyNumberFormat="1" applyFont="1" applyFill="1" applyBorder="1" applyAlignment="1">
      <alignment vertical="center"/>
    </xf>
    <xf numFmtId="170" fontId="18" fillId="2" borderId="2" xfId="0" applyNumberFormat="1" applyFont="1" applyFill="1" applyBorder="1" applyAlignment="1">
      <alignment horizontal="right"/>
    </xf>
    <xf numFmtId="170" fontId="28" fillId="6" borderId="0" xfId="0" applyNumberFormat="1" applyFont="1" applyFill="1" applyAlignment="1">
      <alignment vertical="center"/>
    </xf>
    <xf numFmtId="170" fontId="28" fillId="6" borderId="2" xfId="0" applyNumberFormat="1" applyFont="1" applyFill="1" applyBorder="1" applyAlignment="1">
      <alignment vertical="center"/>
    </xf>
    <xf numFmtId="168" fontId="11" fillId="0" borderId="6" xfId="0" applyNumberFormat="1" applyFont="1" applyBorder="1" applyAlignment="1">
      <alignment vertical="center"/>
    </xf>
    <xf numFmtId="170" fontId="11" fillId="0" borderId="0" xfId="0" applyNumberFormat="1" applyFont="1" applyAlignment="1">
      <alignment vertical="center"/>
    </xf>
    <xf numFmtId="0" fontId="47" fillId="0" borderId="0" xfId="0" applyFont="1" applyAlignment="1">
      <alignment horizontal="left" indent="1"/>
    </xf>
    <xf numFmtId="0" fontId="48" fillId="0" borderId="0" xfId="0" applyFont="1"/>
    <xf numFmtId="172" fontId="47" fillId="0" borderId="0" xfId="5" applyNumberFormat="1" applyFont="1" applyFill="1" applyBorder="1" applyAlignment="1">
      <alignment vertical="center"/>
    </xf>
    <xf numFmtId="169" fontId="51" fillId="0" borderId="0" xfId="0" applyNumberFormat="1" applyFont="1" applyAlignment="1">
      <alignment horizontal="left" indent="1"/>
    </xf>
    <xf numFmtId="0" fontId="52" fillId="0" borderId="0" xfId="0" applyFont="1"/>
    <xf numFmtId="177" fontId="51" fillId="0" borderId="0" xfId="0" applyNumberFormat="1" applyFont="1" applyAlignment="1">
      <alignment horizontal="left" indent="1"/>
    </xf>
    <xf numFmtId="176" fontId="51" fillId="0" borderId="0" xfId="0" applyNumberFormat="1" applyFont="1" applyAlignment="1">
      <alignment horizontal="left" indent="1"/>
    </xf>
    <xf numFmtId="175" fontId="51" fillId="0" borderId="0" xfId="0" applyNumberFormat="1" applyFont="1" applyAlignment="1">
      <alignment horizontal="left" indent="1"/>
    </xf>
    <xf numFmtId="172" fontId="40" fillId="0" borderId="0" xfId="0" applyNumberFormat="1" applyFont="1" applyAlignment="1">
      <alignment vertical="center"/>
    </xf>
    <xf numFmtId="168" fontId="28" fillId="0" borderId="10" xfId="0" applyNumberFormat="1" applyFont="1" applyBorder="1" applyAlignment="1">
      <alignment vertical="center"/>
    </xf>
    <xf numFmtId="168" fontId="28" fillId="0" borderId="11" xfId="0" applyNumberFormat="1" applyFont="1" applyBorder="1" applyAlignment="1">
      <alignment vertical="center"/>
    </xf>
    <xf numFmtId="168" fontId="28" fillId="0" borderId="12" xfId="0" applyNumberFormat="1" applyFont="1" applyBorder="1" applyAlignment="1">
      <alignment vertical="center"/>
    </xf>
    <xf numFmtId="168" fontId="28" fillId="0" borderId="13" xfId="0" applyNumberFormat="1" applyFont="1" applyBorder="1" applyAlignment="1">
      <alignment vertical="center"/>
    </xf>
    <xf numFmtId="168" fontId="28" fillId="0" borderId="0" xfId="0" applyNumberFormat="1" applyFont="1" applyAlignment="1">
      <alignment vertical="center"/>
    </xf>
    <xf numFmtId="168" fontId="28" fillId="0" borderId="14" xfId="0" applyNumberFormat="1" applyFont="1" applyBorder="1" applyAlignment="1">
      <alignment vertical="center"/>
    </xf>
    <xf numFmtId="168" fontId="28" fillId="0" borderId="15" xfId="0" applyNumberFormat="1" applyFont="1" applyBorder="1" applyAlignment="1">
      <alignment vertical="center"/>
    </xf>
    <xf numFmtId="168" fontId="28" fillId="0" borderId="2" xfId="0" applyNumberFormat="1" applyFont="1" applyBorder="1" applyAlignment="1">
      <alignment vertical="center"/>
    </xf>
    <xf numFmtId="168" fontId="28" fillId="0" borderId="16" xfId="0" applyNumberFormat="1" applyFont="1" applyBorder="1" applyAlignment="1">
      <alignment vertical="center"/>
    </xf>
    <xf numFmtId="170" fontId="28" fillId="0" borderId="10" xfId="0" applyNumberFormat="1" applyFont="1" applyBorder="1" applyAlignment="1">
      <alignment horizontal="right" vertical="center"/>
    </xf>
    <xf numFmtId="170" fontId="28" fillId="0" borderId="11" xfId="0" applyNumberFormat="1" applyFont="1" applyBorder="1" applyAlignment="1">
      <alignment horizontal="right" vertical="center"/>
    </xf>
    <xf numFmtId="170" fontId="28" fillId="0" borderId="12" xfId="0" applyNumberFormat="1" applyFont="1" applyBorder="1" applyAlignment="1">
      <alignment horizontal="right" vertical="center"/>
    </xf>
    <xf numFmtId="170" fontId="28" fillId="0" borderId="13" xfId="0" applyNumberFormat="1" applyFont="1" applyBorder="1" applyAlignment="1">
      <alignment horizontal="right" vertical="center"/>
    </xf>
    <xf numFmtId="170" fontId="28" fillId="0" borderId="0" xfId="0" applyNumberFormat="1" applyFont="1" applyAlignment="1">
      <alignment horizontal="right" vertical="center"/>
    </xf>
    <xf numFmtId="170" fontId="28" fillId="0" borderId="14" xfId="0" applyNumberFormat="1" applyFont="1" applyBorder="1" applyAlignment="1">
      <alignment horizontal="right" vertical="center"/>
    </xf>
    <xf numFmtId="170" fontId="28" fillId="0" borderId="2" xfId="0" applyNumberFormat="1" applyFont="1" applyBorder="1" applyAlignment="1">
      <alignment horizontal="right" vertical="center"/>
    </xf>
    <xf numFmtId="170" fontId="28" fillId="0" borderId="16" xfId="0" applyNumberFormat="1" applyFont="1" applyBorder="1" applyAlignment="1">
      <alignment horizontal="right" vertical="center"/>
    </xf>
    <xf numFmtId="168" fontId="28" fillId="0" borderId="30" xfId="0" applyNumberFormat="1" applyFont="1" applyBorder="1" applyAlignment="1">
      <alignment vertical="center"/>
    </xf>
    <xf numFmtId="168" fontId="28" fillId="0" borderId="28" xfId="0" applyNumberFormat="1" applyFont="1" applyBorder="1" applyAlignment="1">
      <alignment vertical="center"/>
    </xf>
    <xf numFmtId="168" fontId="28" fillId="0" borderId="31" xfId="0" applyNumberFormat="1" applyFont="1" applyBorder="1" applyAlignment="1">
      <alignment vertical="center"/>
    </xf>
    <xf numFmtId="170" fontId="28" fillId="0" borderId="15" xfId="0" applyNumberFormat="1" applyFont="1" applyBorder="1" applyAlignment="1">
      <alignment horizontal="right" vertical="center"/>
    </xf>
    <xf numFmtId="166" fontId="34" fillId="0" borderId="33" xfId="0" applyNumberFormat="1" applyFont="1" applyBorder="1" applyAlignment="1">
      <alignment horizontal="right" vertical="center" wrapText="1"/>
    </xf>
    <xf numFmtId="0" fontId="11" fillId="0" borderId="32" xfId="0" applyFont="1" applyBorder="1" applyAlignment="1">
      <alignment horizontal="left" vertical="center"/>
    </xf>
    <xf numFmtId="37" fontId="12" fillId="0" borderId="32" xfId="0" applyNumberFormat="1" applyFont="1" applyBorder="1" applyAlignment="1">
      <alignment horizontal="left" vertical="center"/>
    </xf>
    <xf numFmtId="37" fontId="40" fillId="0" borderId="32" xfId="0" applyNumberFormat="1" applyFont="1" applyBorder="1" applyAlignment="1">
      <alignment horizontal="left" vertical="center"/>
    </xf>
    <xf numFmtId="170" fontId="28" fillId="6" borderId="32" xfId="0" applyNumberFormat="1" applyFont="1" applyFill="1" applyBorder="1" applyAlignment="1">
      <alignment horizontal="right" vertical="center"/>
    </xf>
    <xf numFmtId="168" fontId="28" fillId="6" borderId="32" xfId="0" applyNumberFormat="1" applyFont="1" applyFill="1" applyBorder="1" applyAlignment="1">
      <alignment horizontal="center" vertical="center"/>
    </xf>
    <xf numFmtId="172" fontId="11" fillId="0" borderId="32" xfId="5" applyNumberFormat="1" applyFont="1" applyFill="1" applyBorder="1" applyAlignment="1">
      <alignment horizontal="center" vertical="center"/>
    </xf>
    <xf numFmtId="171" fontId="28" fillId="6" borderId="32" xfId="0" applyNumberFormat="1" applyFont="1" applyFill="1" applyBorder="1" applyAlignment="1">
      <alignment horizontal="center" vertical="center"/>
    </xf>
    <xf numFmtId="171" fontId="12" fillId="7" borderId="32" xfId="0" applyNumberFormat="1" applyFont="1" applyFill="1" applyBorder="1" applyAlignment="1">
      <alignment horizontal="center" vertical="center"/>
    </xf>
    <xf numFmtId="173" fontId="34" fillId="0" borderId="34" xfId="0" applyNumberFormat="1" applyFont="1" applyBorder="1" applyAlignment="1">
      <alignment horizontal="left"/>
    </xf>
    <xf numFmtId="168" fontId="11" fillId="0" borderId="34" xfId="0" applyNumberFormat="1" applyFont="1" applyBorder="1" applyAlignment="1">
      <alignment horizontal="center" vertical="center"/>
    </xf>
    <xf numFmtId="2" fontId="11" fillId="0" borderId="34" xfId="5" applyNumberFormat="1" applyFont="1" applyBorder="1" applyAlignment="1">
      <alignment horizontal="center" vertical="center"/>
    </xf>
    <xf numFmtId="173" fontId="34" fillId="0" borderId="32" xfId="0" applyNumberFormat="1" applyFont="1" applyBorder="1" applyAlignment="1">
      <alignment horizontal="left"/>
    </xf>
    <xf numFmtId="168" fontId="11" fillId="0" borderId="32" xfId="0" applyNumberFormat="1" applyFont="1" applyBorder="1" applyAlignment="1">
      <alignment horizontal="center" vertical="center"/>
    </xf>
    <xf numFmtId="2" fontId="11" fillId="0" borderId="32" xfId="5" applyNumberFormat="1" applyFont="1" applyBorder="1" applyAlignment="1">
      <alignment horizontal="center" vertical="center"/>
    </xf>
    <xf numFmtId="170" fontId="27" fillId="0" borderId="35" xfId="0" applyNumberFormat="1" applyFont="1" applyBorder="1" applyAlignment="1">
      <alignment horizontal="right" vertical="center"/>
    </xf>
    <xf numFmtId="0" fontId="4" fillId="0" borderId="28" xfId="0" applyFont="1" applyBorder="1"/>
    <xf numFmtId="0" fontId="5" fillId="0" borderId="0" xfId="0" applyFont="1"/>
    <xf numFmtId="172" fontId="28" fillId="0" borderId="13" xfId="5" applyNumberFormat="1" applyFont="1" applyBorder="1" applyAlignment="1">
      <alignment horizontal="right" vertical="center"/>
    </xf>
    <xf numFmtId="172" fontId="36" fillId="0" borderId="8" xfId="5" applyNumberFormat="1" applyFont="1" applyFill="1" applyBorder="1" applyAlignment="1">
      <alignment horizontal="right" vertical="center"/>
    </xf>
    <xf numFmtId="172" fontId="28" fillId="0" borderId="0" xfId="5" applyNumberFormat="1" applyFont="1" applyAlignment="1">
      <alignment horizontal="right" vertical="center"/>
    </xf>
    <xf numFmtId="172" fontId="28" fillId="0" borderId="14" xfId="5" applyNumberFormat="1" applyFont="1" applyBorder="1" applyAlignment="1">
      <alignment horizontal="right" vertical="center"/>
    </xf>
    <xf numFmtId="172" fontId="36" fillId="0" borderId="9" xfId="5" applyNumberFormat="1" applyFont="1" applyFill="1" applyBorder="1" applyAlignment="1">
      <alignment horizontal="right" vertical="center"/>
    </xf>
    <xf numFmtId="172" fontId="36" fillId="0" borderId="40" xfId="5" applyNumberFormat="1" applyFont="1" applyFill="1" applyBorder="1" applyAlignment="1">
      <alignment horizontal="right" vertical="center"/>
    </xf>
    <xf numFmtId="172" fontId="28" fillId="0" borderId="29" xfId="5" applyNumberFormat="1" applyFont="1" applyBorder="1" applyAlignment="1">
      <alignment horizontal="right" vertical="center"/>
    </xf>
    <xf numFmtId="172" fontId="28" fillId="0" borderId="2" xfId="5" applyNumberFormat="1" applyFont="1" applyBorder="1" applyAlignment="1">
      <alignment horizontal="right" vertical="center"/>
    </xf>
    <xf numFmtId="172" fontId="28" fillId="0" borderId="16" xfId="5" applyNumberFormat="1" applyFont="1" applyBorder="1" applyAlignment="1">
      <alignment horizontal="right" vertical="center"/>
    </xf>
    <xf numFmtId="172" fontId="28" fillId="0" borderId="10" xfId="5" applyNumberFormat="1" applyFont="1" applyBorder="1" applyAlignment="1">
      <alignment horizontal="right" vertical="center"/>
    </xf>
    <xf numFmtId="172" fontId="28" fillId="0" borderId="11" xfId="5" applyNumberFormat="1" applyFont="1" applyBorder="1" applyAlignment="1">
      <alignment horizontal="right" vertical="center"/>
    </xf>
    <xf numFmtId="172" fontId="28" fillId="0" borderId="12" xfId="5" applyNumberFormat="1" applyFont="1" applyBorder="1" applyAlignment="1">
      <alignment horizontal="right" vertical="center"/>
    </xf>
    <xf numFmtId="0" fontId="54" fillId="9" borderId="41" xfId="0" applyFont="1" applyFill="1" applyBorder="1"/>
    <xf numFmtId="0" fontId="54" fillId="9" borderId="42" xfId="0" applyFont="1" applyFill="1" applyBorder="1"/>
    <xf numFmtId="0" fontId="7" fillId="10" borderId="43" xfId="6" applyFont="1" applyFill="1" applyBorder="1"/>
    <xf numFmtId="0" fontId="7" fillId="10" borderId="44" xfId="6" applyFont="1" applyFill="1" applyBorder="1"/>
    <xf numFmtId="0" fontId="54" fillId="9" borderId="45" xfId="0" applyFont="1" applyFill="1" applyBorder="1"/>
    <xf numFmtId="0" fontId="54" fillId="9" borderId="0" xfId="0" applyFont="1" applyFill="1"/>
    <xf numFmtId="0" fontId="7" fillId="10" borderId="0" xfId="6" applyFont="1" applyFill="1"/>
    <xf numFmtId="0" fontId="7" fillId="10" borderId="46" xfId="6" applyFont="1" applyFill="1" applyBorder="1"/>
    <xf numFmtId="0" fontId="7" fillId="0" borderId="47" xfId="6" applyFont="1" applyBorder="1"/>
    <xf numFmtId="0" fontId="7" fillId="0" borderId="0" xfId="6" applyFont="1"/>
    <xf numFmtId="0" fontId="7" fillId="0" borderId="46" xfId="6" applyFont="1" applyBorder="1"/>
    <xf numFmtId="0" fontId="55" fillId="0" borderId="0" xfId="6" applyFont="1" applyProtection="1">
      <protection locked="0"/>
    </xf>
    <xf numFmtId="0" fontId="56" fillId="0" borderId="0" xfId="6" applyFont="1" applyAlignment="1">
      <alignment horizontal="right"/>
    </xf>
    <xf numFmtId="0" fontId="7" fillId="0" borderId="0" xfId="6" applyFont="1" applyProtection="1">
      <protection locked="0"/>
    </xf>
    <xf numFmtId="0" fontId="57" fillId="0" borderId="0" xfId="6" applyFont="1"/>
    <xf numFmtId="0" fontId="56" fillId="0" borderId="36" xfId="6" applyFont="1" applyBorder="1" applyProtection="1">
      <protection locked="0"/>
    </xf>
    <xf numFmtId="0" fontId="5" fillId="0" borderId="0" xfId="6" applyFont="1"/>
    <xf numFmtId="0" fontId="56" fillId="0" borderId="48" xfId="6" applyFont="1" applyBorder="1" applyAlignment="1" applyProtection="1">
      <alignment horizontal="left"/>
      <protection locked="0"/>
    </xf>
    <xf numFmtId="0" fontId="5" fillId="0" borderId="48" xfId="6" applyFont="1" applyBorder="1" applyAlignment="1">
      <alignment horizontal="centerContinuous"/>
    </xf>
    <xf numFmtId="0" fontId="7" fillId="0" borderId="48" xfId="6" applyFont="1" applyBorder="1" applyAlignment="1">
      <alignment horizontal="centerContinuous"/>
    </xf>
    <xf numFmtId="0" fontId="56" fillId="0" borderId="48" xfId="6" applyFont="1" applyBorder="1" applyAlignment="1" applyProtection="1">
      <alignment horizontal="centerContinuous"/>
      <protection locked="0"/>
    </xf>
    <xf numFmtId="165" fontId="58" fillId="0" borderId="0" xfId="9" applyNumberFormat="1" applyFont="1" applyFill="1" applyBorder="1" applyProtection="1">
      <protection locked="0"/>
    </xf>
    <xf numFmtId="165" fontId="59" fillId="0" borderId="0" xfId="7" applyNumberFormat="1" applyFont="1" applyFill="1" applyBorder="1" applyAlignment="1" applyProtection="1">
      <alignment horizontal="left"/>
      <protection locked="0"/>
    </xf>
    <xf numFmtId="196" fontId="59" fillId="0" borderId="0" xfId="7" applyNumberFormat="1" applyFont="1" applyFill="1" applyBorder="1" applyAlignment="1" applyProtection="1">
      <alignment horizontal="center"/>
      <protection locked="0"/>
    </xf>
    <xf numFmtId="0" fontId="61" fillId="0" borderId="0" xfId="7" applyFont="1" applyFill="1" applyBorder="1" applyProtection="1">
      <protection locked="0"/>
    </xf>
    <xf numFmtId="165" fontId="60" fillId="0" borderId="0" xfId="6" applyNumberFormat="1" applyFont="1"/>
    <xf numFmtId="165" fontId="58" fillId="0" borderId="0" xfId="7" applyNumberFormat="1" applyFont="1" applyFill="1" applyBorder="1"/>
    <xf numFmtId="0" fontId="60" fillId="0" borderId="0" xfId="7" applyFont="1" applyFill="1" applyBorder="1"/>
    <xf numFmtId="0" fontId="62" fillId="11" borderId="0" xfId="6" applyFont="1" applyFill="1"/>
    <xf numFmtId="0" fontId="5" fillId="11" borderId="0" xfId="6" applyFont="1" applyFill="1"/>
    <xf numFmtId="165" fontId="63" fillId="11" borderId="0" xfId="6" applyNumberFormat="1" applyFont="1" applyFill="1"/>
    <xf numFmtId="0" fontId="6" fillId="11" borderId="0" xfId="6" applyFont="1" applyFill="1"/>
    <xf numFmtId="0" fontId="7" fillId="0" borderId="49" xfId="6" applyFont="1" applyBorder="1"/>
    <xf numFmtId="0" fontId="7" fillId="0" borderId="50" xfId="6" applyFont="1" applyBorder="1"/>
    <xf numFmtId="0" fontId="7" fillId="0" borderId="51" xfId="6" applyFont="1" applyBorder="1"/>
    <xf numFmtId="0" fontId="7" fillId="7" borderId="0" xfId="6" applyFont="1" applyFill="1"/>
    <xf numFmtId="0" fontId="64" fillId="0" borderId="0" xfId="0" applyFont="1"/>
    <xf numFmtId="0" fontId="4" fillId="0" borderId="65" xfId="0" applyFont="1" applyBorder="1"/>
    <xf numFmtId="0" fontId="4" fillId="0" borderId="63" xfId="0" applyFont="1" applyBorder="1"/>
    <xf numFmtId="9" fontId="46" fillId="0" borderId="0" xfId="0" applyNumberFormat="1" applyFont="1"/>
    <xf numFmtId="9" fontId="4" fillId="0" borderId="0" xfId="0" applyNumberFormat="1" applyFont="1"/>
    <xf numFmtId="202" fontId="4" fillId="0" borderId="0" xfId="0" applyNumberFormat="1" applyFont="1"/>
    <xf numFmtId="164" fontId="4" fillId="0" borderId="0" xfId="4" applyFont="1"/>
    <xf numFmtId="190" fontId="4" fillId="0" borderId="0" xfId="4" applyNumberFormat="1" applyFont="1"/>
    <xf numFmtId="173" fontId="25" fillId="0" borderId="0" xfId="0" applyNumberFormat="1" applyFont="1" applyAlignment="1">
      <alignment horizontal="right" vertical="center"/>
    </xf>
    <xf numFmtId="201" fontId="65" fillId="0" borderId="0" xfId="3" applyNumberFormat="1" applyFont="1" applyAlignment="1" applyProtection="1">
      <alignment horizontal="center"/>
      <protection locked="0"/>
    </xf>
    <xf numFmtId="0" fontId="0" fillId="0" borderId="0" xfId="0" applyAlignment="1">
      <alignment horizontal="left" vertical="center" indent="1"/>
    </xf>
    <xf numFmtId="0" fontId="4" fillId="0" borderId="52" xfId="0" applyFont="1" applyBorder="1"/>
    <xf numFmtId="0" fontId="43" fillId="0" borderId="0" xfId="0" applyFont="1" applyAlignment="1">
      <alignment horizontal="center"/>
    </xf>
    <xf numFmtId="0" fontId="46" fillId="2" borderId="0" xfId="0" applyFont="1" applyFill="1"/>
    <xf numFmtId="0" fontId="46" fillId="12" borderId="0" xfId="0" applyFont="1" applyFill="1"/>
    <xf numFmtId="0" fontId="67" fillId="12" borderId="0" xfId="7" applyFont="1" applyFill="1" applyAlignment="1">
      <alignment horizontal="center" vertical="center"/>
    </xf>
    <xf numFmtId="201" fontId="43" fillId="0" borderId="0" xfId="3" applyNumberFormat="1" applyFont="1" applyProtection="1">
      <protection locked="0"/>
    </xf>
    <xf numFmtId="189" fontId="40" fillId="0" borderId="0" xfId="0" applyNumberFormat="1" applyFont="1" applyAlignment="1">
      <alignment horizontal="center"/>
    </xf>
    <xf numFmtId="165" fontId="52" fillId="0" borderId="0" xfId="0" applyNumberFormat="1" applyFont="1" applyAlignment="1">
      <alignment horizontal="left" vertical="center"/>
    </xf>
    <xf numFmtId="0" fontId="43" fillId="0" borderId="0" xfId="0" applyFont="1" applyAlignment="1">
      <alignment horizontal="centerContinuous"/>
    </xf>
    <xf numFmtId="37" fontId="68" fillId="0" borderId="0" xfId="0" applyNumberFormat="1" applyFont="1" applyAlignment="1">
      <alignment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170" fontId="11" fillId="0" borderId="0" xfId="0" applyNumberFormat="1" applyFont="1"/>
    <xf numFmtId="0" fontId="38" fillId="0" borderId="0" xfId="0" applyFont="1" applyAlignment="1">
      <alignment vertical="center"/>
    </xf>
    <xf numFmtId="168" fontId="11" fillId="0" borderId="0" xfId="5" applyNumberFormat="1" applyFont="1" applyFill="1" applyBorder="1" applyAlignment="1">
      <alignment horizontal="right" vertical="center"/>
    </xf>
    <xf numFmtId="189" fontId="31" fillId="0" borderId="0" xfId="0" applyNumberFormat="1" applyFont="1" applyAlignment="1">
      <alignment horizontal="center"/>
    </xf>
    <xf numFmtId="0" fontId="69" fillId="0" borderId="0" xfId="0" applyFont="1"/>
    <xf numFmtId="0" fontId="31" fillId="0" borderId="0" xfId="0" applyFont="1" applyAlignment="1">
      <alignment horizontal="center" vertical="center"/>
    </xf>
    <xf numFmtId="189" fontId="11" fillId="0" borderId="10" xfId="0" applyNumberFormat="1" applyFont="1" applyBorder="1" applyAlignment="1">
      <alignment horizontal="center"/>
    </xf>
    <xf numFmtId="189" fontId="11" fillId="0" borderId="11" xfId="0" applyNumberFormat="1" applyFont="1" applyBorder="1" applyAlignment="1">
      <alignment horizontal="center"/>
    </xf>
    <xf numFmtId="195" fontId="11" fillId="0" borderId="12" xfId="0" applyNumberFormat="1" applyFont="1" applyBorder="1" applyAlignment="1">
      <alignment horizontal="center"/>
    </xf>
    <xf numFmtId="173" fontId="70" fillId="0" borderId="0" xfId="0" applyNumberFormat="1" applyFont="1" applyAlignment="1">
      <alignment horizontal="right"/>
    </xf>
    <xf numFmtId="37" fontId="71" fillId="0" borderId="0" xfId="0" applyNumberFormat="1" applyFont="1" applyAlignment="1">
      <alignment vertical="center"/>
    </xf>
    <xf numFmtId="0" fontId="72" fillId="0" borderId="0" xfId="0" quotePrefix="1" applyFont="1" applyAlignment="1">
      <alignment horizontal="center" vertical="center"/>
    </xf>
    <xf numFmtId="170" fontId="11" fillId="0" borderId="0" xfId="4" applyNumberFormat="1" applyFont="1" applyFill="1" applyBorder="1" applyAlignment="1">
      <alignment horizontal="right" vertical="center"/>
    </xf>
    <xf numFmtId="189" fontId="11" fillId="0" borderId="13" xfId="0" applyNumberFormat="1" applyFont="1" applyBorder="1" applyAlignment="1">
      <alignment horizontal="center"/>
    </xf>
    <xf numFmtId="189" fontId="11" fillId="0" borderId="0" xfId="0" applyNumberFormat="1" applyFont="1" applyAlignment="1">
      <alignment horizontal="center"/>
    </xf>
    <xf numFmtId="195" fontId="11" fillId="0" borderId="14" xfId="0" applyNumberFormat="1" applyFont="1" applyBorder="1" applyAlignment="1">
      <alignment horizontal="center"/>
    </xf>
    <xf numFmtId="190" fontId="11" fillId="0" borderId="0" xfId="4" applyNumberFormat="1" applyFont="1" applyFill="1" applyBorder="1" applyAlignment="1">
      <alignment horizontal="right" vertical="center"/>
    </xf>
    <xf numFmtId="189" fontId="11" fillId="0" borderId="15" xfId="0" applyNumberFormat="1" applyFont="1" applyBorder="1" applyAlignment="1">
      <alignment horizontal="center"/>
    </xf>
    <xf numFmtId="189" fontId="11" fillId="0" borderId="2" xfId="0" applyNumberFormat="1" applyFont="1" applyBorder="1" applyAlignment="1">
      <alignment horizontal="center"/>
    </xf>
    <xf numFmtId="195" fontId="11" fillId="0" borderId="16" xfId="0" applyNumberFormat="1" applyFont="1" applyBorder="1" applyAlignment="1">
      <alignment horizontal="center"/>
    </xf>
    <xf numFmtId="0" fontId="73" fillId="0" borderId="0" xfId="0" applyFont="1"/>
    <xf numFmtId="0" fontId="11" fillId="0" borderId="0" xfId="0" applyFont="1"/>
    <xf numFmtId="0" fontId="52" fillId="0" borderId="0" xfId="0" quotePrefix="1" applyFont="1" applyAlignment="1">
      <alignment horizontal="center" vertical="center"/>
    </xf>
    <xf numFmtId="2" fontId="11" fillId="0" borderId="0" xfId="5" applyNumberFormat="1" applyFont="1" applyFill="1" applyBorder="1" applyAlignment="1">
      <alignment horizontal="right" vertical="center"/>
    </xf>
    <xf numFmtId="172" fontId="11" fillId="0" borderId="0" xfId="5" applyNumberFormat="1" applyFont="1" applyFill="1" applyBorder="1" applyAlignment="1">
      <alignment vertical="center"/>
    </xf>
    <xf numFmtId="0" fontId="74" fillId="0" borderId="0" xfId="0" applyFont="1"/>
    <xf numFmtId="0" fontId="74" fillId="0" borderId="0" xfId="0" applyFont="1" applyAlignment="1">
      <alignment horizontal="centerContinuous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" fillId="0" borderId="0" xfId="0" applyFont="1" applyAlignment="1">
      <alignment horizontal="centerContinuous" vertical="center"/>
    </xf>
    <xf numFmtId="0" fontId="74" fillId="0" borderId="0" xfId="0" applyFont="1" applyAlignment="1">
      <alignment horizontal="left"/>
    </xf>
    <xf numFmtId="0" fontId="11" fillId="0" borderId="0" xfId="0" applyFont="1" applyAlignment="1">
      <alignment horizontal="centerContinuous" vertical="center"/>
    </xf>
    <xf numFmtId="189" fontId="75" fillId="0" borderId="0" xfId="0" applyNumberFormat="1" applyFont="1" applyAlignment="1">
      <alignment horizontal="right"/>
    </xf>
    <xf numFmtId="168" fontId="47" fillId="0" borderId="0" xfId="5" applyNumberFormat="1" applyFont="1" applyFill="1" applyBorder="1" applyAlignment="1">
      <alignment horizontal="right" vertical="center"/>
    </xf>
    <xf numFmtId="195" fontId="11" fillId="0" borderId="0" xfId="0" applyNumberFormat="1" applyFont="1" applyAlignment="1">
      <alignment horizontal="right"/>
    </xf>
    <xf numFmtId="170" fontId="11" fillId="0" borderId="10" xfId="4" applyNumberFormat="1" applyFont="1" applyFill="1" applyBorder="1" applyAlignment="1">
      <alignment vertical="center"/>
    </xf>
    <xf numFmtId="170" fontId="11" fillId="0" borderId="11" xfId="4" applyNumberFormat="1" applyFont="1" applyFill="1" applyBorder="1" applyAlignment="1">
      <alignment vertical="center"/>
    </xf>
    <xf numFmtId="170" fontId="11" fillId="0" borderId="12" xfId="4" applyNumberFormat="1" applyFont="1" applyFill="1" applyBorder="1" applyAlignment="1">
      <alignment vertical="center"/>
    </xf>
    <xf numFmtId="171" fontId="11" fillId="0" borderId="10" xfId="4" applyNumberFormat="1" applyFont="1" applyFill="1" applyBorder="1" applyAlignment="1">
      <alignment vertical="center"/>
    </xf>
    <xf numFmtId="171" fontId="11" fillId="0" borderId="11" xfId="4" applyNumberFormat="1" applyFont="1" applyFill="1" applyBorder="1" applyAlignment="1">
      <alignment vertical="center"/>
    </xf>
    <xf numFmtId="171" fontId="11" fillId="0" borderId="12" xfId="4" applyNumberFormat="1" applyFont="1" applyFill="1" applyBorder="1" applyAlignment="1">
      <alignment vertical="center"/>
    </xf>
    <xf numFmtId="170" fontId="11" fillId="0" borderId="13" xfId="4" applyNumberFormat="1" applyFont="1" applyFill="1" applyBorder="1" applyAlignment="1">
      <alignment vertical="center"/>
    </xf>
    <xf numFmtId="170" fontId="11" fillId="0" borderId="0" xfId="4" applyNumberFormat="1" applyFont="1" applyFill="1" applyAlignment="1">
      <alignment vertical="center"/>
    </xf>
    <xf numFmtId="170" fontId="11" fillId="0" borderId="14" xfId="4" applyNumberFormat="1" applyFont="1" applyFill="1" applyBorder="1" applyAlignment="1">
      <alignment vertical="center"/>
    </xf>
    <xf numFmtId="171" fontId="11" fillId="0" borderId="13" xfId="4" applyNumberFormat="1" applyFont="1" applyFill="1" applyBorder="1" applyAlignment="1">
      <alignment vertical="center"/>
    </xf>
    <xf numFmtId="171" fontId="11" fillId="0" borderId="0" xfId="4" applyNumberFormat="1" applyFont="1" applyFill="1" applyAlignment="1">
      <alignment vertical="center"/>
    </xf>
    <xf numFmtId="171" fontId="11" fillId="0" borderId="14" xfId="4" applyNumberFormat="1" applyFont="1" applyFill="1" applyBorder="1" applyAlignment="1">
      <alignment vertical="center"/>
    </xf>
    <xf numFmtId="170" fontId="36" fillId="0" borderId="87" xfId="4" applyNumberFormat="1" applyFont="1" applyFill="1" applyBorder="1" applyAlignment="1">
      <alignment vertical="center"/>
    </xf>
    <xf numFmtId="171" fontId="36" fillId="0" borderId="87" xfId="4" applyNumberFormat="1" applyFont="1" applyFill="1" applyBorder="1" applyAlignment="1">
      <alignment vertical="center"/>
    </xf>
    <xf numFmtId="170" fontId="11" fillId="0" borderId="15" xfId="4" applyNumberFormat="1" applyFont="1" applyFill="1" applyBorder="1" applyAlignment="1">
      <alignment vertical="center"/>
    </xf>
    <xf numFmtId="170" fontId="11" fillId="0" borderId="2" xfId="4" applyNumberFormat="1" applyFont="1" applyFill="1" applyBorder="1" applyAlignment="1">
      <alignment vertical="center"/>
    </xf>
    <xf numFmtId="170" fontId="11" fillId="0" borderId="16" xfId="4" applyNumberFormat="1" applyFont="1" applyFill="1" applyBorder="1" applyAlignment="1">
      <alignment vertical="center"/>
    </xf>
    <xf numFmtId="171" fontId="11" fillId="0" borderId="15" xfId="4" applyNumberFormat="1" applyFont="1" applyFill="1" applyBorder="1" applyAlignment="1">
      <alignment vertical="center"/>
    </xf>
    <xf numFmtId="171" fontId="11" fillId="0" borderId="2" xfId="4" applyNumberFormat="1" applyFont="1" applyFill="1" applyBorder="1" applyAlignment="1">
      <alignment vertical="center"/>
    </xf>
    <xf numFmtId="171" fontId="11" fillId="0" borderId="16" xfId="4" applyNumberFormat="1" applyFont="1" applyFill="1" applyBorder="1" applyAlignment="1">
      <alignment vertical="center"/>
    </xf>
    <xf numFmtId="189" fontId="11" fillId="0" borderId="0" xfId="0" applyNumberFormat="1" applyFont="1" applyAlignment="1">
      <alignment horizontal="right"/>
    </xf>
    <xf numFmtId="168" fontId="47" fillId="0" borderId="2" xfId="5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 textRotation="90"/>
    </xf>
    <xf numFmtId="170" fontId="11" fillId="0" borderId="0" xfId="4" applyNumberFormat="1" applyFont="1" applyFill="1" applyBorder="1" applyAlignment="1">
      <alignment vertical="center"/>
    </xf>
    <xf numFmtId="168" fontId="11" fillId="0" borderId="10" xfId="4" applyNumberFormat="1" applyFont="1" applyFill="1" applyBorder="1" applyAlignment="1">
      <alignment horizontal="right" vertical="center"/>
    </xf>
    <xf numFmtId="168" fontId="11" fillId="0" borderId="11" xfId="4" applyNumberFormat="1" applyFont="1" applyFill="1" applyBorder="1" applyAlignment="1">
      <alignment horizontal="right" vertical="center"/>
    </xf>
    <xf numFmtId="168" fontId="11" fillId="0" borderId="12" xfId="4" applyNumberFormat="1" applyFont="1" applyFill="1" applyBorder="1" applyAlignment="1">
      <alignment horizontal="right" vertical="center"/>
    </xf>
    <xf numFmtId="168" fontId="11" fillId="0" borderId="13" xfId="4" applyNumberFormat="1" applyFont="1" applyFill="1" applyBorder="1" applyAlignment="1">
      <alignment horizontal="right" vertical="center"/>
    </xf>
    <xf numFmtId="168" fontId="11" fillId="0" borderId="0" xfId="4" applyNumberFormat="1" applyFont="1" applyFill="1" applyAlignment="1">
      <alignment horizontal="right" vertical="center"/>
    </xf>
    <xf numFmtId="168" fontId="11" fillId="0" borderId="14" xfId="4" applyNumberFormat="1" applyFont="1" applyFill="1" applyBorder="1" applyAlignment="1">
      <alignment horizontal="right" vertical="center"/>
    </xf>
    <xf numFmtId="168" fontId="36" fillId="0" borderId="87" xfId="4" applyNumberFormat="1" applyFont="1" applyFill="1" applyBorder="1" applyAlignment="1">
      <alignment horizontal="right" vertical="center"/>
    </xf>
    <xf numFmtId="168" fontId="11" fillId="0" borderId="15" xfId="4" applyNumberFormat="1" applyFont="1" applyFill="1" applyBorder="1" applyAlignment="1">
      <alignment horizontal="right" vertical="center"/>
    </xf>
    <xf numFmtId="168" fontId="11" fillId="0" borderId="2" xfId="4" applyNumberFormat="1" applyFont="1" applyFill="1" applyBorder="1" applyAlignment="1">
      <alignment horizontal="right" vertical="center"/>
    </xf>
    <xf numFmtId="168" fontId="11" fillId="0" borderId="16" xfId="4" applyNumberFormat="1" applyFont="1" applyFill="1" applyBorder="1" applyAlignment="1">
      <alignment horizontal="right" vertical="center"/>
    </xf>
    <xf numFmtId="170" fontId="11" fillId="0" borderId="0" xfId="4" applyNumberFormat="1" applyFont="1" applyBorder="1" applyAlignment="1">
      <alignment vertical="center"/>
    </xf>
    <xf numFmtId="168" fontId="11" fillId="0" borderId="0" xfId="4" applyNumberFormat="1" applyFont="1" applyBorder="1" applyAlignment="1">
      <alignment horizontal="right" vertical="center"/>
    </xf>
    <xf numFmtId="169" fontId="76" fillId="0" borderId="0" xfId="0" quotePrefix="1" applyNumberFormat="1" applyFont="1" applyAlignment="1">
      <alignment horizontal="right"/>
    </xf>
    <xf numFmtId="0" fontId="43" fillId="0" borderId="2" xfId="0" applyFont="1" applyBorder="1"/>
    <xf numFmtId="12" fontId="34" fillId="0" borderId="0" xfId="0" applyNumberFormat="1" applyFont="1" applyAlignment="1">
      <alignment horizontal="right"/>
    </xf>
    <xf numFmtId="200" fontId="11" fillId="0" borderId="0" xfId="5" applyNumberFormat="1" applyFont="1" applyFill="1" applyBorder="1" applyAlignment="1">
      <alignment horizontal="right" vertical="center"/>
    </xf>
    <xf numFmtId="171" fontId="11" fillId="0" borderId="0" xfId="4" applyNumberFormat="1" applyFont="1" applyFill="1" applyBorder="1" applyAlignment="1">
      <alignment horizontal="right" vertical="center"/>
    </xf>
    <xf numFmtId="200" fontId="47" fillId="0" borderId="0" xfId="5" applyNumberFormat="1" applyFont="1" applyFill="1" applyBorder="1" applyAlignment="1">
      <alignment horizontal="right" vertical="center"/>
    </xf>
    <xf numFmtId="0" fontId="43" fillId="0" borderId="103" xfId="0" applyFont="1" applyBorder="1"/>
    <xf numFmtId="0" fontId="43" fillId="0" borderId="104" xfId="0" applyFont="1" applyBorder="1"/>
    <xf numFmtId="0" fontId="36" fillId="0" borderId="104" xfId="0" applyFont="1" applyBorder="1" applyAlignment="1">
      <alignment horizontal="center"/>
    </xf>
    <xf numFmtId="0" fontId="36" fillId="0" borderId="105" xfId="0" applyFont="1" applyBorder="1" applyAlignment="1">
      <alignment horizontal="center"/>
    </xf>
    <xf numFmtId="0" fontId="43" fillId="0" borderId="106" xfId="0" applyFont="1" applyBorder="1"/>
    <xf numFmtId="0" fontId="43" fillId="0" borderId="36" xfId="0" applyFont="1" applyBorder="1"/>
    <xf numFmtId="0" fontId="43" fillId="0" borderId="109" xfId="0" applyFont="1" applyBorder="1"/>
    <xf numFmtId="0" fontId="43" fillId="0" borderId="107" xfId="0" applyFont="1" applyBorder="1"/>
    <xf numFmtId="4" fontId="4" fillId="0" borderId="0" xfId="0" applyNumberFormat="1" applyFont="1"/>
    <xf numFmtId="4" fontId="4" fillId="0" borderId="107" xfId="0" applyNumberFormat="1" applyFont="1" applyBorder="1"/>
    <xf numFmtId="195" fontId="4" fillId="0" borderId="0" xfId="0" applyNumberFormat="1" applyFont="1"/>
    <xf numFmtId="195" fontId="4" fillId="0" borderId="107" xfId="0" applyNumberFormat="1" applyFont="1" applyBorder="1"/>
    <xf numFmtId="0" fontId="43" fillId="0" borderId="108" xfId="0" applyFont="1" applyBorder="1"/>
    <xf numFmtId="0" fontId="4" fillId="0" borderId="36" xfId="0" applyFont="1" applyBorder="1"/>
    <xf numFmtId="0" fontId="4" fillId="0" borderId="109" xfId="0" applyFont="1" applyBorder="1"/>
    <xf numFmtId="0" fontId="16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66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left" vertical="center" wrapText="1"/>
    </xf>
    <xf numFmtId="210" fontId="18" fillId="5" borderId="0" xfId="0" applyNumberFormat="1" applyFont="1" applyFill="1" applyAlignment="1">
      <alignment horizontal="right" vertical="center" wrapText="1"/>
    </xf>
    <xf numFmtId="0" fontId="18" fillId="5" borderId="0" xfId="0" applyFont="1" applyFill="1" applyAlignment="1">
      <alignment vertical="center" wrapText="1"/>
    </xf>
    <xf numFmtId="0" fontId="18" fillId="5" borderId="0" xfId="0" applyFont="1" applyFill="1" applyAlignment="1">
      <alignment horizontal="right" vertical="center" wrapText="1"/>
    </xf>
    <xf numFmtId="0" fontId="19" fillId="5" borderId="0" xfId="0" applyFont="1" applyFill="1" applyAlignment="1">
      <alignment vertical="center" wrapText="1"/>
    </xf>
    <xf numFmtId="0" fontId="19" fillId="5" borderId="0" xfId="0" applyFont="1" applyFill="1" applyAlignment="1">
      <alignment horizontal="right" vertical="center" wrapText="1"/>
    </xf>
    <xf numFmtId="0" fontId="15" fillId="0" borderId="0" xfId="0" applyFont="1" applyAlignment="1">
      <alignment horizontal="left" vertical="center"/>
    </xf>
    <xf numFmtId="167" fontId="16" fillId="0" borderId="0" xfId="0" applyNumberFormat="1" applyFont="1" applyAlignment="1">
      <alignment horizontal="right" vertical="center" wrapText="1"/>
    </xf>
    <xf numFmtId="167" fontId="15" fillId="0" borderId="5" xfId="0" applyNumberFormat="1" applyFont="1" applyBorder="1" applyAlignment="1">
      <alignment horizontal="right" vertical="center" wrapText="1"/>
    </xf>
    <xf numFmtId="167" fontId="15" fillId="0" borderId="0" xfId="0" applyNumberFormat="1" applyFont="1" applyAlignment="1">
      <alignment horizontal="right" vertical="center" wrapText="1"/>
    </xf>
    <xf numFmtId="167" fontId="17" fillId="0" borderId="5" xfId="0" applyNumberFormat="1" applyFont="1" applyBorder="1" applyAlignment="1">
      <alignment horizontal="right" vertical="center" wrapText="1"/>
    </xf>
    <xf numFmtId="181" fontId="16" fillId="0" borderId="0" xfId="0" applyNumberFormat="1" applyFont="1" applyAlignment="1">
      <alignment horizontal="right" vertical="center" wrapText="1"/>
    </xf>
    <xf numFmtId="182" fontId="16" fillId="0" borderId="0" xfId="0" applyNumberFormat="1" applyFont="1" applyAlignment="1">
      <alignment horizontal="right" vertical="center" wrapText="1"/>
    </xf>
    <xf numFmtId="183" fontId="16" fillId="0" borderId="0" xfId="0" applyNumberFormat="1" applyFont="1" applyAlignment="1">
      <alignment horizontal="right" vertical="center" wrapText="1"/>
    </xf>
    <xf numFmtId="184" fontId="16" fillId="0" borderId="0" xfId="0" applyNumberFormat="1" applyFont="1" applyAlignment="1">
      <alignment horizontal="right" vertical="center" wrapText="1"/>
    </xf>
    <xf numFmtId="185" fontId="16" fillId="0" borderId="0" xfId="0" applyNumberFormat="1" applyFont="1" applyAlignment="1">
      <alignment horizontal="right" vertical="center" wrapText="1"/>
    </xf>
    <xf numFmtId="49" fontId="16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167" fontId="24" fillId="0" borderId="0" xfId="0" applyNumberFormat="1" applyFont="1" applyAlignment="1">
      <alignment horizontal="right" vertical="center" wrapText="1"/>
    </xf>
    <xf numFmtId="167" fontId="17" fillId="0" borderId="0" xfId="0" applyNumberFormat="1" applyFont="1" applyAlignment="1">
      <alignment horizontal="right" vertical="center" wrapText="1"/>
    </xf>
    <xf numFmtId="186" fontId="16" fillId="0" borderId="0" xfId="0" applyNumberFormat="1" applyFont="1" applyAlignment="1">
      <alignment horizontal="right" vertical="center" wrapText="1"/>
    </xf>
    <xf numFmtId="37" fontId="77" fillId="0" borderId="0" xfId="0" applyNumberFormat="1" applyFont="1" applyAlignment="1">
      <alignment vertical="center"/>
    </xf>
    <xf numFmtId="0" fontId="78" fillId="0" borderId="0" xfId="0" applyFont="1" applyAlignment="1">
      <alignment horizontal="right" vertical="center"/>
    </xf>
    <xf numFmtId="0" fontId="11" fillId="0" borderId="25" xfId="0" applyFont="1" applyBorder="1" applyAlignment="1">
      <alignment horizontal="left"/>
    </xf>
    <xf numFmtId="170" fontId="12" fillId="0" borderId="26" xfId="0" applyNumberFormat="1" applyFont="1" applyBorder="1"/>
    <xf numFmtId="170" fontId="12" fillId="0" borderId="17" xfId="0" applyNumberFormat="1" applyFont="1" applyBorder="1"/>
    <xf numFmtId="170" fontId="12" fillId="0" borderId="18" xfId="0" applyNumberFormat="1" applyFont="1" applyBorder="1"/>
    <xf numFmtId="170" fontId="12" fillId="0" borderId="21" xfId="0" applyNumberFormat="1" applyFont="1" applyBorder="1"/>
    <xf numFmtId="170" fontId="12" fillId="0" borderId="19" xfId="0" applyNumberFormat="1" applyFont="1" applyBorder="1"/>
    <xf numFmtId="37" fontId="79" fillId="0" borderId="0" xfId="0" applyNumberFormat="1" applyFont="1" applyAlignment="1">
      <alignment vertical="center"/>
    </xf>
    <xf numFmtId="0" fontId="80" fillId="0" borderId="0" xfId="0" applyFont="1" applyAlignment="1">
      <alignment horizontal="center"/>
    </xf>
    <xf numFmtId="188" fontId="40" fillId="0" borderId="0" xfId="0" applyNumberFormat="1" applyFont="1"/>
    <xf numFmtId="189" fontId="11" fillId="0" borderId="0" xfId="0" applyNumberFormat="1" applyFont="1"/>
    <xf numFmtId="168" fontId="11" fillId="0" borderId="24" xfId="0" applyNumberFormat="1" applyFont="1" applyBorder="1"/>
    <xf numFmtId="190" fontId="28" fillId="6" borderId="0" xfId="4" applyNumberFormat="1" applyFont="1" applyFill="1"/>
    <xf numFmtId="190" fontId="11" fillId="0" borderId="0" xfId="4" applyNumberFormat="1" applyFont="1"/>
    <xf numFmtId="190" fontId="11" fillId="0" borderId="22" xfId="4" applyNumberFormat="1" applyFont="1" applyBorder="1"/>
    <xf numFmtId="168" fontId="11" fillId="0" borderId="22" xfId="0" applyNumberFormat="1" applyFont="1" applyBorder="1"/>
    <xf numFmtId="170" fontId="28" fillId="6" borderId="0" xfId="0" applyNumberFormat="1" applyFont="1" applyFill="1"/>
    <xf numFmtId="170" fontId="11" fillId="0" borderId="23" xfId="0" applyNumberFormat="1" applyFont="1" applyBorder="1"/>
    <xf numFmtId="188" fontId="11" fillId="0" borderId="0" xfId="0" applyNumberFormat="1" applyFont="1"/>
    <xf numFmtId="188" fontId="11" fillId="0" borderId="20" xfId="0" applyNumberFormat="1" applyFont="1" applyBorder="1" applyAlignment="1">
      <alignment vertical="center"/>
    </xf>
    <xf numFmtId="0" fontId="43" fillId="0" borderId="52" xfId="0" applyFont="1" applyBorder="1"/>
    <xf numFmtId="37" fontId="18" fillId="0" borderId="52" xfId="0" applyNumberFormat="1" applyFont="1" applyBorder="1" applyAlignment="1">
      <alignment vertical="center"/>
    </xf>
    <xf numFmtId="0" fontId="80" fillId="0" borderId="52" xfId="0" applyFont="1" applyBorder="1" applyAlignment="1">
      <alignment horizontal="center"/>
    </xf>
    <xf numFmtId="173" fontId="34" fillId="0" borderId="52" xfId="0" applyNumberFormat="1" applyFont="1" applyBorder="1" applyAlignment="1">
      <alignment horizontal="right"/>
    </xf>
    <xf numFmtId="170" fontId="11" fillId="0" borderId="52" xfId="0" applyNumberFormat="1" applyFont="1" applyBorder="1"/>
    <xf numFmtId="0" fontId="19" fillId="8" borderId="0" xfId="0" applyFont="1" applyFill="1" applyAlignment="1">
      <alignment horizontal="right" vertical="center"/>
    </xf>
    <xf numFmtId="170" fontId="11" fillId="0" borderId="10" xfId="0" applyNumberFormat="1" applyFont="1" applyBorder="1"/>
    <xf numFmtId="170" fontId="11" fillId="0" borderId="11" xfId="0" applyNumberFormat="1" applyFont="1" applyBorder="1"/>
    <xf numFmtId="170" fontId="11" fillId="0" borderId="30" xfId="0" applyNumberFormat="1" applyFont="1" applyBorder="1"/>
    <xf numFmtId="168" fontId="28" fillId="0" borderId="15" xfId="0" applyNumberFormat="1" applyFont="1" applyBorder="1"/>
    <xf numFmtId="168" fontId="12" fillId="0" borderId="2" xfId="0" applyNumberFormat="1" applyFont="1" applyBorder="1"/>
    <xf numFmtId="168" fontId="12" fillId="0" borderId="31" xfId="0" applyNumberFormat="1" applyFont="1" applyBorder="1"/>
    <xf numFmtId="168" fontId="40" fillId="0" borderId="0" xfId="0" applyNumberFormat="1" applyFont="1"/>
    <xf numFmtId="190" fontId="12" fillId="0" borderId="0" xfId="4" applyNumberFormat="1" applyFont="1"/>
    <xf numFmtId="171" fontId="11" fillId="0" borderId="0" xfId="0" applyNumberFormat="1" applyFont="1"/>
    <xf numFmtId="191" fontId="11" fillId="0" borderId="0" xfId="5" applyNumberFormat="1" applyFont="1"/>
    <xf numFmtId="191" fontId="11" fillId="0" borderId="1" xfId="5" applyNumberFormat="1" applyFont="1" applyBorder="1"/>
    <xf numFmtId="0" fontId="11" fillId="0" borderId="2" xfId="0" applyFont="1" applyBorder="1" applyAlignment="1">
      <alignment horizontal="left"/>
    </xf>
    <xf numFmtId="37" fontId="18" fillId="0" borderId="2" xfId="0" applyNumberFormat="1" applyFont="1" applyBorder="1" applyAlignment="1">
      <alignment vertical="center"/>
    </xf>
    <xf numFmtId="0" fontId="80" fillId="0" borderId="2" xfId="0" applyFont="1" applyBorder="1" applyAlignment="1">
      <alignment horizontal="center"/>
    </xf>
    <xf numFmtId="173" fontId="34" fillId="0" borderId="2" xfId="0" applyNumberFormat="1" applyFont="1" applyBorder="1" applyAlignment="1">
      <alignment horizontal="right"/>
    </xf>
    <xf numFmtId="170" fontId="40" fillId="0" borderId="2" xfId="0" applyNumberFormat="1" applyFont="1" applyBorder="1"/>
    <xf numFmtId="172" fontId="40" fillId="0" borderId="2" xfId="5" applyNumberFormat="1" applyFont="1" applyFill="1" applyBorder="1"/>
    <xf numFmtId="170" fontId="40" fillId="0" borderId="0" xfId="0" applyNumberFormat="1" applyFont="1"/>
    <xf numFmtId="170" fontId="12" fillId="0" borderId="0" xfId="0" applyNumberFormat="1" applyFont="1"/>
    <xf numFmtId="166" fontId="34" fillId="0" borderId="1" xfId="0" applyNumberFormat="1" applyFont="1" applyBorder="1" applyAlignment="1">
      <alignment horizontal="right" vertical="center" wrapText="1"/>
    </xf>
    <xf numFmtId="166" fontId="34" fillId="0" borderId="69" xfId="0" applyNumberFormat="1" applyFont="1" applyBorder="1" applyAlignment="1">
      <alignment horizontal="right" vertical="center" wrapText="1"/>
    </xf>
    <xf numFmtId="172" fontId="68" fillId="0" borderId="0" xfId="5" applyNumberFormat="1" applyFont="1" applyAlignment="1">
      <alignment vertical="center"/>
    </xf>
    <xf numFmtId="170" fontId="4" fillId="0" borderId="0" xfId="0" applyNumberFormat="1" applyFont="1" applyAlignment="1">
      <alignment horizontal="right"/>
    </xf>
    <xf numFmtId="170" fontId="4" fillId="0" borderId="63" xfId="0" applyNumberFormat="1" applyFont="1" applyBorder="1" applyAlignment="1">
      <alignment horizontal="right"/>
    </xf>
    <xf numFmtId="172" fontId="12" fillId="0" borderId="0" xfId="5" applyNumberFormat="1" applyFont="1"/>
    <xf numFmtId="170" fontId="12" fillId="0" borderId="2" xfId="0" applyNumberFormat="1" applyFont="1" applyBorder="1" applyAlignment="1">
      <alignment horizontal="right"/>
    </xf>
    <xf numFmtId="170" fontId="12" fillId="0" borderId="70" xfId="0" applyNumberFormat="1" applyFont="1" applyBorder="1" applyAlignment="1">
      <alignment horizontal="right"/>
    </xf>
    <xf numFmtId="170" fontId="12" fillId="0" borderId="63" xfId="0" applyNumberFormat="1" applyFont="1" applyBorder="1" applyAlignment="1">
      <alignment horizontal="right"/>
    </xf>
    <xf numFmtId="0" fontId="34" fillId="0" borderId="0" xfId="0" applyFont="1"/>
    <xf numFmtId="170" fontId="34" fillId="0" borderId="0" xfId="0" applyNumberFormat="1" applyFont="1" applyAlignment="1">
      <alignment horizontal="right"/>
    </xf>
    <xf numFmtId="170" fontId="34" fillId="0" borderId="64" xfId="0" applyNumberFormat="1" applyFont="1" applyBorder="1" applyAlignment="1">
      <alignment horizontal="right"/>
    </xf>
    <xf numFmtId="170" fontId="40" fillId="0" borderId="0" xfId="0" applyNumberFormat="1" applyFont="1" applyAlignment="1">
      <alignment horizontal="right"/>
    </xf>
    <xf numFmtId="170" fontId="12" fillId="0" borderId="0" xfId="0" applyNumberFormat="1" applyFont="1" applyAlignment="1">
      <alignment horizontal="right"/>
    </xf>
    <xf numFmtId="170" fontId="12" fillId="0" borderId="65" xfId="0" applyNumberFormat="1" applyFont="1" applyBorder="1" applyAlignment="1">
      <alignment horizontal="right"/>
    </xf>
    <xf numFmtId="170" fontId="12" fillId="0" borderId="6" xfId="0" applyNumberFormat="1" applyFont="1" applyBorder="1" applyAlignment="1">
      <alignment horizontal="right"/>
    </xf>
    <xf numFmtId="170" fontId="12" fillId="0" borderId="66" xfId="0" applyNumberFormat="1" applyFont="1" applyBorder="1" applyAlignment="1">
      <alignment horizontal="right"/>
    </xf>
    <xf numFmtId="170" fontId="34" fillId="0" borderId="27" xfId="0" applyNumberFormat="1" applyFont="1" applyBorder="1" applyAlignment="1">
      <alignment horizontal="right"/>
    </xf>
    <xf numFmtId="170" fontId="34" fillId="0" borderId="67" xfId="0" applyNumberFormat="1" applyFont="1" applyBorder="1" applyAlignment="1">
      <alignment horizontal="right"/>
    </xf>
    <xf numFmtId="170" fontId="34" fillId="0" borderId="0" xfId="5" applyNumberFormat="1" applyFont="1" applyFill="1" applyAlignment="1">
      <alignment horizontal="right"/>
    </xf>
    <xf numFmtId="170" fontId="12" fillId="0" borderId="68" xfId="0" applyNumberFormat="1" applyFont="1" applyBorder="1" applyAlignment="1">
      <alignment horizontal="right"/>
    </xf>
    <xf numFmtId="170" fontId="34" fillId="0" borderId="65" xfId="0" applyNumberFormat="1" applyFont="1" applyBorder="1" applyAlignment="1">
      <alignment horizontal="right"/>
    </xf>
    <xf numFmtId="170" fontId="34" fillId="0" borderId="72" xfId="0" applyNumberFormat="1" applyFont="1" applyBorder="1" applyAlignment="1">
      <alignment horizontal="right"/>
    </xf>
    <xf numFmtId="170" fontId="34" fillId="0" borderId="63" xfId="0" applyNumberFormat="1" applyFont="1" applyBorder="1" applyAlignment="1">
      <alignment horizontal="right"/>
    </xf>
    <xf numFmtId="170" fontId="12" fillId="0" borderId="52" xfId="0" applyNumberFormat="1" applyFont="1" applyBorder="1" applyAlignment="1">
      <alignment horizontal="right"/>
    </xf>
    <xf numFmtId="170" fontId="12" fillId="0" borderId="62" xfId="0" applyNumberFormat="1" applyFont="1" applyBorder="1" applyAlignment="1">
      <alignment horizontal="right"/>
    </xf>
    <xf numFmtId="170" fontId="11" fillId="0" borderId="0" xfId="0" applyNumberFormat="1" applyFont="1" applyAlignment="1">
      <alignment horizontal="right"/>
    </xf>
    <xf numFmtId="170" fontId="11" fillId="0" borderId="73" xfId="0" applyNumberFormat="1" applyFont="1" applyBorder="1" applyAlignment="1">
      <alignment horizontal="right"/>
    </xf>
    <xf numFmtId="170" fontId="11" fillId="0" borderId="61" xfId="0" applyNumberFormat="1" applyFont="1" applyBorder="1" applyAlignment="1">
      <alignment horizontal="right"/>
    </xf>
    <xf numFmtId="170" fontId="11" fillId="0" borderId="64" xfId="0" applyNumberFormat="1" applyFont="1" applyBorder="1" applyAlignment="1">
      <alignment horizontal="right"/>
    </xf>
    <xf numFmtId="170" fontId="40" fillId="0" borderId="36" xfId="0" applyNumberFormat="1" applyFont="1" applyBorder="1" applyAlignment="1">
      <alignment horizontal="right"/>
    </xf>
    <xf numFmtId="170" fontId="40" fillId="0" borderId="60" xfId="0" applyNumberFormat="1" applyFont="1" applyBorder="1" applyAlignment="1">
      <alignment horizontal="right"/>
    </xf>
    <xf numFmtId="170" fontId="34" fillId="0" borderId="1" xfId="0" applyNumberFormat="1" applyFont="1" applyBorder="1" applyAlignment="1">
      <alignment horizontal="right" vertical="center"/>
    </xf>
    <xf numFmtId="170" fontId="34" fillId="0" borderId="71" xfId="0" applyNumberFormat="1" applyFont="1" applyBorder="1" applyAlignment="1">
      <alignment horizontal="right" vertical="center"/>
    </xf>
    <xf numFmtId="172" fontId="68" fillId="0" borderId="0" xfId="5" applyNumberFormat="1" applyFont="1" applyBorder="1" applyAlignment="1">
      <alignment vertical="center"/>
    </xf>
    <xf numFmtId="0" fontId="11" fillId="0" borderId="37" xfId="0" applyFont="1" applyBorder="1" applyAlignment="1">
      <alignment horizontal="left" indent="1"/>
    </xf>
    <xf numFmtId="0" fontId="12" fillId="0" borderId="38" xfId="0" applyFont="1" applyBorder="1"/>
    <xf numFmtId="173" fontId="34" fillId="0" borderId="38" xfId="0" applyNumberFormat="1" applyFont="1" applyBorder="1" applyAlignment="1">
      <alignment horizontal="right"/>
    </xf>
    <xf numFmtId="170" fontId="4" fillId="0" borderId="38" xfId="0" applyNumberFormat="1" applyFont="1" applyBorder="1" applyAlignment="1">
      <alignment horizontal="right"/>
    </xf>
    <xf numFmtId="170" fontId="4" fillId="0" borderId="39" xfId="0" applyNumberFormat="1" applyFont="1" applyBorder="1" applyAlignment="1">
      <alignment horizontal="right"/>
    </xf>
    <xf numFmtId="170" fontId="4" fillId="0" borderId="0" xfId="0" applyNumberFormat="1" applyFont="1"/>
    <xf numFmtId="172" fontId="4" fillId="0" borderId="0" xfId="5" applyNumberFormat="1" applyFont="1"/>
    <xf numFmtId="9" fontId="34" fillId="0" borderId="0" xfId="5" applyFont="1" applyBorder="1" applyAlignment="1">
      <alignment horizontal="right"/>
    </xf>
    <xf numFmtId="172" fontId="41" fillId="0" borderId="0" xfId="5" applyNumberFormat="1" applyFont="1" applyAlignment="1">
      <alignment horizontal="right"/>
    </xf>
    <xf numFmtId="172" fontId="41" fillId="0" borderId="0" xfId="5" applyNumberFormat="1" applyFont="1" applyBorder="1" applyAlignment="1">
      <alignment horizontal="right"/>
    </xf>
    <xf numFmtId="49" fontId="12" fillId="0" borderId="0" xfId="0" applyNumberFormat="1" applyFont="1" applyAlignment="1">
      <alignment horizontal="left"/>
    </xf>
    <xf numFmtId="170" fontId="12" fillId="0" borderId="37" xfId="0" applyNumberFormat="1" applyFont="1" applyBorder="1"/>
    <xf numFmtId="170" fontId="12" fillId="0" borderId="38" xfId="0" applyNumberFormat="1" applyFont="1" applyBorder="1"/>
    <xf numFmtId="169" fontId="12" fillId="0" borderId="0" xfId="0" applyNumberFormat="1" applyFont="1" applyAlignment="1">
      <alignment horizontal="left"/>
    </xf>
    <xf numFmtId="49" fontId="34" fillId="0" borderId="0" xfId="0" applyNumberFormat="1" applyFont="1" applyAlignment="1">
      <alignment horizontal="left"/>
    </xf>
    <xf numFmtId="0" fontId="34" fillId="0" borderId="0" xfId="0" applyFont="1" applyAlignment="1">
      <alignment horizontal="right"/>
    </xf>
    <xf numFmtId="0" fontId="34" fillId="0" borderId="0" xfId="0" applyFont="1" applyAlignment="1">
      <alignment horizontal="centerContinuous"/>
    </xf>
    <xf numFmtId="174" fontId="34" fillId="0" borderId="0" xfId="0" applyNumberFormat="1" applyFont="1" applyAlignment="1">
      <alignment horizontal="centerContinuous"/>
    </xf>
    <xf numFmtId="37" fontId="68" fillId="0" borderId="0" xfId="0" applyNumberFormat="1" applyFont="1" applyAlignment="1">
      <alignment horizontal="centerContinuous" vertical="center"/>
    </xf>
    <xf numFmtId="0" fontId="12" fillId="0" borderId="10" xfId="0" applyFont="1" applyBorder="1" applyAlignment="1">
      <alignment horizontal="left"/>
    </xf>
    <xf numFmtId="37" fontId="68" fillId="0" borderId="11" xfId="0" applyNumberFormat="1" applyFont="1" applyBorder="1" applyAlignment="1">
      <alignment vertical="center"/>
    </xf>
    <xf numFmtId="171" fontId="12" fillId="0" borderId="12" xfId="5" applyNumberFormat="1" applyFont="1" applyBorder="1" applyAlignment="1">
      <alignment horizontal="right"/>
    </xf>
    <xf numFmtId="173" fontId="34" fillId="0" borderId="0" xfId="0" applyNumberFormat="1" applyFont="1" applyAlignment="1">
      <alignment horizontal="left"/>
    </xf>
    <xf numFmtId="192" fontId="34" fillId="0" borderId="0" xfId="0" applyNumberFormat="1" applyFont="1" applyAlignment="1">
      <alignment horizontal="right"/>
    </xf>
    <xf numFmtId="0" fontId="11" fillId="0" borderId="15" xfId="0" applyFont="1" applyBorder="1" applyAlignment="1">
      <alignment horizontal="left"/>
    </xf>
    <xf numFmtId="37" fontId="79" fillId="0" borderId="2" xfId="0" applyNumberFormat="1" applyFont="1" applyBorder="1" applyAlignment="1">
      <alignment vertical="center"/>
    </xf>
    <xf numFmtId="170" fontId="12" fillId="0" borderId="16" xfId="0" applyNumberFormat="1" applyFont="1" applyBorder="1" applyAlignment="1">
      <alignment horizontal="right"/>
    </xf>
    <xf numFmtId="189" fontId="40" fillId="0" borderId="14" xfId="0" applyNumberFormat="1" applyFont="1" applyBorder="1"/>
    <xf numFmtId="193" fontId="11" fillId="0" borderId="18" xfId="0" applyNumberFormat="1" applyFont="1" applyBorder="1" applyAlignment="1">
      <alignment horizontal="right"/>
    </xf>
    <xf numFmtId="193" fontId="11" fillId="0" borderId="19" xfId="0" applyNumberFormat="1" applyFont="1" applyBorder="1" applyAlignment="1">
      <alignment horizontal="right"/>
    </xf>
    <xf numFmtId="171" fontId="81" fillId="0" borderId="0" xfId="5" applyNumberFormat="1" applyFont="1" applyBorder="1" applyAlignment="1">
      <alignment horizontal="right"/>
    </xf>
    <xf numFmtId="0" fontId="33" fillId="0" borderId="0" xfId="0" applyFont="1" applyAlignment="1">
      <alignment horizontal="right" vertical="center"/>
    </xf>
    <xf numFmtId="193" fontId="11" fillId="0" borderId="0" xfId="0" applyNumberFormat="1" applyFont="1" applyAlignment="1">
      <alignment horizontal="right"/>
    </xf>
    <xf numFmtId="165" fontId="33" fillId="0" borderId="2" xfId="0" applyNumberFormat="1" applyFont="1" applyBorder="1" applyAlignment="1">
      <alignment vertical="center"/>
    </xf>
    <xf numFmtId="174" fontId="34" fillId="0" borderId="2" xfId="0" applyNumberFormat="1" applyFont="1" applyBorder="1" applyAlignment="1">
      <alignment horizontal="right"/>
    </xf>
    <xf numFmtId="192" fontId="34" fillId="0" borderId="2" xfId="0" applyNumberFormat="1" applyFont="1" applyBorder="1" applyAlignment="1">
      <alignment horizontal="right"/>
    </xf>
    <xf numFmtId="9" fontId="12" fillId="0" borderId="16" xfId="0" applyNumberFormat="1" applyFont="1" applyBorder="1" applyAlignment="1">
      <alignment horizontal="right"/>
    </xf>
    <xf numFmtId="193" fontId="11" fillId="0" borderId="15" xfId="0" applyNumberFormat="1" applyFont="1" applyBorder="1" applyAlignment="1">
      <alignment horizontal="right"/>
    </xf>
    <xf numFmtId="193" fontId="11" fillId="0" borderId="2" xfId="0" applyNumberFormat="1" applyFont="1" applyBorder="1" applyAlignment="1">
      <alignment horizontal="right"/>
    </xf>
    <xf numFmtId="193" fontId="11" fillId="0" borderId="16" xfId="0" applyNumberFormat="1" applyFont="1" applyBorder="1" applyAlignment="1">
      <alignment horizontal="right"/>
    </xf>
    <xf numFmtId="171" fontId="40" fillId="0" borderId="0" xfId="5" applyNumberFormat="1" applyFont="1" applyBorder="1" applyAlignment="1">
      <alignment horizontal="right"/>
    </xf>
    <xf numFmtId="0" fontId="34" fillId="0" borderId="0" xfId="0" applyFont="1" applyAlignment="1">
      <alignment horizontal="left"/>
    </xf>
    <xf numFmtId="194" fontId="34" fillId="0" borderId="0" xfId="0" applyNumberFormat="1" applyFont="1" applyAlignment="1">
      <alignment horizontal="right"/>
    </xf>
    <xf numFmtId="174" fontId="34" fillId="0" borderId="10" xfId="0" applyNumberFormat="1" applyFont="1" applyBorder="1" applyAlignment="1">
      <alignment horizontal="left"/>
    </xf>
    <xf numFmtId="195" fontId="11" fillId="0" borderId="11" xfId="0" applyNumberFormat="1" applyFont="1" applyBorder="1" applyAlignment="1">
      <alignment horizontal="left"/>
    </xf>
    <xf numFmtId="174" fontId="12" fillId="0" borderId="12" xfId="0" applyNumberFormat="1" applyFont="1" applyBorder="1" applyAlignment="1">
      <alignment horizontal="left"/>
    </xf>
    <xf numFmtId="168" fontId="11" fillId="0" borderId="11" xfId="0" applyNumberFormat="1" applyFont="1" applyBorder="1" applyAlignment="1">
      <alignment horizontal="right"/>
    </xf>
    <xf numFmtId="168" fontId="11" fillId="0" borderId="12" xfId="0" applyNumberFormat="1" applyFont="1" applyBorder="1" applyAlignment="1">
      <alignment horizontal="right"/>
    </xf>
    <xf numFmtId="174" fontId="34" fillId="0" borderId="13" xfId="0" applyNumberFormat="1" applyFont="1" applyBorder="1" applyAlignment="1">
      <alignment horizontal="left"/>
    </xf>
    <xf numFmtId="195" fontId="11" fillId="0" borderId="0" xfId="0" applyNumberFormat="1" applyFont="1" applyAlignment="1">
      <alignment horizontal="left"/>
    </xf>
    <xf numFmtId="174" fontId="12" fillId="0" borderId="14" xfId="0" applyNumberFormat="1" applyFont="1" applyBorder="1" applyAlignment="1">
      <alignment horizontal="left"/>
    </xf>
    <xf numFmtId="168" fontId="11" fillId="0" borderId="0" xfId="0" applyNumberFormat="1" applyFont="1" applyAlignment="1">
      <alignment horizontal="right"/>
    </xf>
    <xf numFmtId="168" fontId="11" fillId="0" borderId="14" xfId="0" applyNumberFormat="1" applyFont="1" applyBorder="1" applyAlignment="1">
      <alignment horizontal="right"/>
    </xf>
    <xf numFmtId="174" fontId="34" fillId="0" borderId="15" xfId="0" applyNumberFormat="1" applyFont="1" applyBorder="1" applyAlignment="1">
      <alignment horizontal="left"/>
    </xf>
    <xf numFmtId="195" fontId="11" fillId="0" borderId="52" xfId="0" applyNumberFormat="1" applyFont="1" applyBorder="1" applyAlignment="1">
      <alignment horizontal="left"/>
    </xf>
    <xf numFmtId="174" fontId="12" fillId="0" borderId="16" xfId="0" applyNumberFormat="1" applyFont="1" applyBorder="1" applyAlignment="1">
      <alignment horizontal="left"/>
    </xf>
    <xf numFmtId="168" fontId="11" fillId="0" borderId="2" xfId="0" applyNumberFormat="1" applyFont="1" applyBorder="1" applyAlignment="1">
      <alignment horizontal="right"/>
    </xf>
    <xf numFmtId="168" fontId="11" fillId="0" borderId="16" xfId="0" applyNumberFormat="1" applyFont="1" applyBorder="1" applyAlignment="1">
      <alignment horizontal="right"/>
    </xf>
    <xf numFmtId="189" fontId="11" fillId="0" borderId="11" xfId="0" applyNumberFormat="1" applyFont="1" applyBorder="1" applyAlignment="1">
      <alignment horizontal="left"/>
    </xf>
    <xf numFmtId="189" fontId="11" fillId="0" borderId="12" xfId="0" applyNumberFormat="1" applyFont="1" applyBorder="1" applyAlignment="1">
      <alignment horizontal="left"/>
    </xf>
    <xf numFmtId="170" fontId="11" fillId="0" borderId="11" xfId="0" applyNumberFormat="1" applyFont="1" applyBorder="1" applyAlignment="1">
      <alignment horizontal="right"/>
    </xf>
    <xf numFmtId="170" fontId="11" fillId="0" borderId="12" xfId="0" applyNumberFormat="1" applyFont="1" applyBorder="1" applyAlignment="1">
      <alignment horizontal="right"/>
    </xf>
    <xf numFmtId="189" fontId="11" fillId="0" borderId="0" xfId="0" applyNumberFormat="1" applyFont="1" applyAlignment="1">
      <alignment horizontal="left"/>
    </xf>
    <xf numFmtId="189" fontId="11" fillId="0" borderId="14" xfId="0" applyNumberFormat="1" applyFont="1" applyBorder="1" applyAlignment="1">
      <alignment horizontal="left"/>
    </xf>
    <xf numFmtId="170" fontId="11" fillId="0" borderId="14" xfId="0" applyNumberFormat="1" applyFont="1" applyBorder="1" applyAlignment="1">
      <alignment horizontal="right"/>
    </xf>
    <xf numFmtId="189" fontId="11" fillId="0" borderId="2" xfId="0" applyNumberFormat="1" applyFont="1" applyBorder="1" applyAlignment="1">
      <alignment horizontal="left"/>
    </xf>
    <xf numFmtId="189" fontId="11" fillId="0" borderId="16" xfId="0" applyNumberFormat="1" applyFont="1" applyBorder="1" applyAlignment="1">
      <alignment horizontal="left"/>
    </xf>
    <xf numFmtId="170" fontId="11" fillId="0" borderId="2" xfId="0" applyNumberFormat="1" applyFont="1" applyBorder="1" applyAlignment="1">
      <alignment horizontal="right"/>
    </xf>
    <xf numFmtId="170" fontId="11" fillId="0" borderId="16" xfId="0" applyNumberFormat="1" applyFont="1" applyBorder="1" applyAlignment="1">
      <alignment horizontal="right"/>
    </xf>
    <xf numFmtId="0" fontId="12" fillId="0" borderId="0" xfId="0" applyFont="1" applyAlignment="1">
      <alignment horizontal="left" indent="1"/>
    </xf>
    <xf numFmtId="170" fontId="11" fillId="0" borderId="1" xfId="0" applyNumberFormat="1" applyFont="1" applyBorder="1" applyAlignment="1">
      <alignment vertical="center"/>
    </xf>
    <xf numFmtId="177" fontId="76" fillId="0" borderId="0" xfId="0" quotePrefix="1" applyNumberFormat="1" applyFont="1" applyAlignment="1">
      <alignment horizontal="right"/>
    </xf>
    <xf numFmtId="0" fontId="31" fillId="5" borderId="0" xfId="0" applyFont="1" applyFill="1"/>
    <xf numFmtId="170" fontId="11" fillId="0" borderId="53" xfId="0" applyNumberFormat="1" applyFont="1" applyBorder="1"/>
    <xf numFmtId="170" fontId="11" fillId="0" borderId="54" xfId="0" applyNumberFormat="1" applyFont="1" applyBorder="1"/>
    <xf numFmtId="170" fontId="11" fillId="0" borderId="55" xfId="0" applyNumberFormat="1" applyFont="1" applyBorder="1"/>
    <xf numFmtId="0" fontId="11" fillId="0" borderId="10" xfId="0" applyFont="1" applyBorder="1" applyAlignment="1">
      <alignment horizontal="left"/>
    </xf>
    <xf numFmtId="37" fontId="79" fillId="0" borderId="11" xfId="0" applyNumberFormat="1" applyFont="1" applyBorder="1" applyAlignment="1">
      <alignment vertical="center"/>
    </xf>
    <xf numFmtId="9" fontId="12" fillId="0" borderId="61" xfId="5" applyFont="1" applyFill="1" applyBorder="1"/>
    <xf numFmtId="0" fontId="12" fillId="0" borderId="15" xfId="0" applyFont="1" applyBorder="1" applyAlignment="1">
      <alignment horizontal="left"/>
    </xf>
    <xf numFmtId="9" fontId="12" fillId="0" borderId="62" xfId="5" applyFont="1" applyFill="1" applyBorder="1"/>
    <xf numFmtId="168" fontId="40" fillId="0" borderId="0" xfId="0" applyNumberFormat="1" applyFont="1" applyAlignment="1">
      <alignment horizontal="right"/>
    </xf>
    <xf numFmtId="197" fontId="11" fillId="0" borderId="0" xfId="0" applyNumberFormat="1" applyFont="1" applyAlignment="1">
      <alignment horizontal="left"/>
    </xf>
    <xf numFmtId="174" fontId="34" fillId="0" borderId="52" xfId="0" applyNumberFormat="1" applyFont="1" applyBorder="1" applyAlignment="1">
      <alignment horizontal="right"/>
    </xf>
    <xf numFmtId="170" fontId="11" fillId="0" borderId="2" xfId="0" applyNumberFormat="1" applyFont="1" applyBorder="1"/>
    <xf numFmtId="37" fontId="68" fillId="0" borderId="2" xfId="0" applyNumberFormat="1" applyFont="1" applyBorder="1" applyAlignment="1">
      <alignment vertical="center"/>
    </xf>
    <xf numFmtId="189" fontId="40" fillId="0" borderId="0" xfId="0" applyNumberFormat="1" applyFont="1"/>
    <xf numFmtId="0" fontId="12" fillId="0" borderId="52" xfId="0" applyFont="1" applyBorder="1" applyAlignment="1">
      <alignment horizontal="left" indent="1"/>
    </xf>
    <xf numFmtId="189" fontId="40" fillId="0" borderId="52" xfId="0" applyNumberFormat="1" applyFont="1" applyBorder="1"/>
    <xf numFmtId="189" fontId="11" fillId="0" borderId="52" xfId="0" applyNumberFormat="1" applyFont="1" applyBorder="1"/>
    <xf numFmtId="170" fontId="12" fillId="0" borderId="52" xfId="0" applyNumberFormat="1" applyFont="1" applyBorder="1"/>
    <xf numFmtId="170" fontId="34" fillId="0" borderId="52" xfId="0" applyNumberFormat="1" applyFont="1" applyBorder="1" applyAlignment="1">
      <alignment horizontal="right"/>
    </xf>
    <xf numFmtId="189" fontId="12" fillId="0" borderId="0" xfId="0" applyNumberFormat="1" applyFont="1"/>
    <xf numFmtId="0" fontId="33" fillId="0" borderId="0" xfId="0" applyFont="1" applyAlignment="1">
      <alignment horizontal="center"/>
    </xf>
    <xf numFmtId="40" fontId="12" fillId="0" borderId="0" xfId="0" applyNumberFormat="1" applyFont="1"/>
    <xf numFmtId="38" fontId="12" fillId="0" borderId="0" xfId="0" applyNumberFormat="1" applyFont="1"/>
    <xf numFmtId="189" fontId="39" fillId="0" borderId="0" xfId="0" applyNumberFormat="1" applyFont="1"/>
    <xf numFmtId="0" fontId="34" fillId="0" borderId="0" xfId="0" applyFont="1" applyAlignment="1">
      <alignment horizontal="left" indent="1"/>
    </xf>
    <xf numFmtId="170" fontId="36" fillId="0" borderId="1" xfId="0" applyNumberFormat="1" applyFont="1" applyBorder="1" applyAlignment="1">
      <alignment vertical="center"/>
    </xf>
    <xf numFmtId="170" fontId="36" fillId="0" borderId="56" xfId="0" applyNumberFormat="1" applyFont="1" applyBorder="1" applyAlignment="1">
      <alignment vertical="center"/>
    </xf>
    <xf numFmtId="0" fontId="46" fillId="0" borderId="52" xfId="0" applyFont="1" applyBorder="1"/>
    <xf numFmtId="0" fontId="34" fillId="0" borderId="52" xfId="0" applyFont="1" applyBorder="1"/>
    <xf numFmtId="170" fontId="36" fillId="0" borderId="52" xfId="0" applyNumberFormat="1" applyFont="1" applyBorder="1"/>
    <xf numFmtId="0" fontId="12" fillId="0" borderId="52" xfId="0" applyFont="1" applyBorder="1"/>
    <xf numFmtId="173" fontId="18" fillId="0" borderId="36" xfId="0" applyNumberFormat="1" applyFont="1" applyBorder="1" applyAlignment="1">
      <alignment horizontal="right"/>
    </xf>
    <xf numFmtId="37" fontId="68" fillId="0" borderId="36" xfId="0" applyNumberFormat="1" applyFont="1" applyBorder="1" applyAlignment="1">
      <alignment vertical="center"/>
    </xf>
    <xf numFmtId="174" fontId="34" fillId="0" borderId="1" xfId="0" applyNumberFormat="1" applyFont="1" applyBorder="1" applyAlignment="1">
      <alignment horizontal="right"/>
    </xf>
    <xf numFmtId="170" fontId="11" fillId="0" borderId="12" xfId="0" applyNumberFormat="1" applyFont="1" applyBorder="1"/>
    <xf numFmtId="198" fontId="11" fillId="0" borderId="15" xfId="0" applyNumberFormat="1" applyFont="1" applyBorder="1"/>
    <xf numFmtId="198" fontId="11" fillId="0" borderId="2" xfId="0" applyNumberFormat="1" applyFont="1" applyBorder="1"/>
    <xf numFmtId="198" fontId="11" fillId="0" borderId="16" xfId="0" applyNumberFormat="1" applyFont="1" applyBorder="1"/>
    <xf numFmtId="37" fontId="85" fillId="0" borderId="11" xfId="0" applyNumberFormat="1" applyFont="1" applyBorder="1" applyAlignment="1">
      <alignment vertical="center"/>
    </xf>
    <xf numFmtId="172" fontId="11" fillId="0" borderId="12" xfId="5" applyNumberFormat="1" applyFont="1" applyFill="1" applyBorder="1" applyAlignment="1"/>
    <xf numFmtId="49" fontId="11" fillId="0" borderId="15" xfId="0" applyNumberFormat="1" applyFont="1" applyBorder="1" applyAlignment="1">
      <alignment horizontal="left"/>
    </xf>
    <xf numFmtId="196" fontId="11" fillId="0" borderId="16" xfId="0" applyNumberFormat="1" applyFont="1" applyBorder="1" applyAlignment="1">
      <alignment horizontal="right"/>
    </xf>
    <xf numFmtId="170" fontId="86" fillId="0" borderId="0" xfId="0" applyNumberFormat="1" applyFont="1"/>
    <xf numFmtId="172" fontId="81" fillId="0" borderId="0" xfId="5" applyNumberFormat="1" applyFont="1" applyBorder="1"/>
    <xf numFmtId="49" fontId="12" fillId="0" borderId="0" xfId="0" applyNumberFormat="1" applyFont="1" applyAlignment="1">
      <alignment horizontal="left" indent="1"/>
    </xf>
    <xf numFmtId="170" fontId="34" fillId="0" borderId="2" xfId="0" applyNumberFormat="1" applyFont="1" applyBorder="1" applyAlignment="1">
      <alignment horizontal="right"/>
    </xf>
    <xf numFmtId="165" fontId="52" fillId="0" borderId="2" xfId="0" applyNumberFormat="1" applyFont="1" applyBorder="1" applyAlignment="1">
      <alignment vertical="center"/>
    </xf>
    <xf numFmtId="37" fontId="85" fillId="0" borderId="2" xfId="0" applyNumberFormat="1" applyFont="1" applyBorder="1" applyAlignment="1">
      <alignment vertical="center"/>
    </xf>
    <xf numFmtId="173" fontId="36" fillId="0" borderId="2" xfId="0" applyNumberFormat="1" applyFont="1" applyBorder="1" applyAlignment="1">
      <alignment horizontal="right"/>
    </xf>
    <xf numFmtId="170" fontId="36" fillId="0" borderId="2" xfId="0" applyNumberFormat="1" applyFont="1" applyBorder="1" applyAlignment="1">
      <alignment horizontal="right"/>
    </xf>
    <xf numFmtId="170" fontId="36" fillId="0" borderId="0" xfId="0" applyNumberFormat="1" applyFont="1" applyAlignment="1">
      <alignment horizontal="right"/>
    </xf>
    <xf numFmtId="198" fontId="11" fillId="0" borderId="0" xfId="0" applyNumberFormat="1" applyFont="1"/>
    <xf numFmtId="170" fontId="11" fillId="0" borderId="52" xfId="0" applyNumberFormat="1" applyFont="1" applyBorder="1" applyAlignment="1">
      <alignment vertical="center"/>
    </xf>
    <xf numFmtId="170" fontId="11" fillId="0" borderId="64" xfId="0" applyNumberFormat="1" applyFont="1" applyBorder="1"/>
    <xf numFmtId="0" fontId="11" fillId="0" borderId="13" xfId="0" applyFont="1" applyBorder="1" applyAlignment="1">
      <alignment horizontal="left"/>
    </xf>
    <xf numFmtId="170" fontId="11" fillId="0" borderId="14" xfId="0" applyNumberFormat="1" applyFont="1" applyBorder="1"/>
    <xf numFmtId="170" fontId="11" fillId="0" borderId="65" xfId="0" applyNumberFormat="1" applyFont="1" applyBorder="1"/>
    <xf numFmtId="173" fontId="12" fillId="0" borderId="0" xfId="0" applyNumberFormat="1" applyFont="1" applyAlignment="1">
      <alignment horizontal="right"/>
    </xf>
    <xf numFmtId="170" fontId="11" fillId="0" borderId="75" xfId="0" applyNumberFormat="1" applyFont="1" applyBorder="1"/>
    <xf numFmtId="189" fontId="36" fillId="0" borderId="0" xfId="0" applyNumberFormat="1" applyFont="1"/>
    <xf numFmtId="170" fontId="36" fillId="0" borderId="0" xfId="0" applyNumberFormat="1" applyFont="1"/>
    <xf numFmtId="170" fontId="36" fillId="0" borderId="73" xfId="0" applyNumberFormat="1" applyFont="1" applyBorder="1"/>
    <xf numFmtId="195" fontId="40" fillId="0" borderId="0" xfId="0" applyNumberFormat="1" applyFont="1" applyAlignment="1">
      <alignment horizontal="right"/>
    </xf>
    <xf numFmtId="170" fontId="11" fillId="0" borderId="74" xfId="0" applyNumberFormat="1" applyFont="1" applyBorder="1" applyAlignment="1">
      <alignment vertical="center"/>
    </xf>
    <xf numFmtId="0" fontId="41" fillId="0" borderId="0" xfId="0" applyFont="1" applyAlignment="1">
      <alignment horizontal="left" indent="1"/>
    </xf>
    <xf numFmtId="37" fontId="19" fillId="0" borderId="0" xfId="0" applyNumberFormat="1" applyFont="1" applyAlignment="1">
      <alignment vertical="center"/>
    </xf>
    <xf numFmtId="173" fontId="88" fillId="0" borderId="0" xfId="0" applyNumberFormat="1" applyFont="1" applyAlignment="1">
      <alignment horizontal="right"/>
    </xf>
    <xf numFmtId="189" fontId="47" fillId="0" borderId="0" xfId="0" applyNumberFormat="1" applyFont="1"/>
    <xf numFmtId="196" fontId="11" fillId="0" borderId="59" xfId="0" applyNumberFormat="1" applyFont="1" applyBorder="1" applyAlignment="1">
      <alignment horizontal="right"/>
    </xf>
    <xf numFmtId="196" fontId="11" fillId="0" borderId="58" xfId="0" applyNumberFormat="1" applyFont="1" applyBorder="1" applyAlignment="1">
      <alignment horizontal="right"/>
    </xf>
    <xf numFmtId="196" fontId="11" fillId="0" borderId="57" xfId="0" applyNumberFormat="1" applyFont="1" applyBorder="1" applyAlignment="1">
      <alignment horizontal="right"/>
    </xf>
    <xf numFmtId="0" fontId="36" fillId="0" borderId="2" xfId="0" applyFont="1" applyBorder="1" applyAlignment="1">
      <alignment horizontal="left"/>
    </xf>
    <xf numFmtId="0" fontId="34" fillId="0" borderId="2" xfId="0" applyFont="1" applyBorder="1"/>
    <xf numFmtId="0" fontId="12" fillId="0" borderId="2" xfId="0" applyFont="1" applyBorder="1"/>
    <xf numFmtId="172" fontId="12" fillId="0" borderId="2" xfId="5" applyNumberFormat="1" applyFont="1" applyFill="1" applyBorder="1"/>
    <xf numFmtId="170" fontId="89" fillId="0" borderId="88" xfId="0" applyNumberFormat="1" applyFont="1" applyBorder="1" applyAlignment="1">
      <alignment horizontal="center"/>
    </xf>
    <xf numFmtId="170" fontId="89" fillId="0" borderId="89" xfId="0" applyNumberFormat="1" applyFont="1" applyBorder="1" applyAlignment="1">
      <alignment horizontal="centerContinuous"/>
    </xf>
    <xf numFmtId="173" fontId="89" fillId="0" borderId="90" xfId="0" applyNumberFormat="1" applyFont="1" applyBorder="1" applyAlignment="1">
      <alignment horizontal="centerContinuous"/>
    </xf>
    <xf numFmtId="170" fontId="89" fillId="0" borderId="91" xfId="0" applyNumberFormat="1" applyFont="1" applyBorder="1" applyAlignment="1">
      <alignment horizontal="center"/>
    </xf>
    <xf numFmtId="0" fontId="90" fillId="0" borderId="92" xfId="0" applyFont="1" applyBorder="1" applyAlignment="1">
      <alignment horizontal="center"/>
    </xf>
    <xf numFmtId="0" fontId="90" fillId="0" borderId="80" xfId="0" applyFont="1" applyBorder="1" applyAlignment="1">
      <alignment horizontal="center"/>
    </xf>
    <xf numFmtId="0" fontId="90" fillId="0" borderId="3" xfId="0" applyFont="1" applyBorder="1" applyAlignment="1">
      <alignment horizontal="center"/>
    </xf>
    <xf numFmtId="0" fontId="90" fillId="0" borderId="93" xfId="0" applyFont="1" applyBorder="1" applyAlignment="1">
      <alignment horizontal="center"/>
    </xf>
    <xf numFmtId="168" fontId="4" fillId="0" borderId="12" xfId="5" applyNumberFormat="1" applyFont="1" applyFill="1" applyBorder="1" applyAlignment="1">
      <alignment horizontal="right"/>
    </xf>
    <xf numFmtId="170" fontId="89" fillId="0" borderId="0" xfId="0" applyNumberFormat="1" applyFont="1" applyAlignment="1">
      <alignment horizontal="left"/>
    </xf>
    <xf numFmtId="203" fontId="11" fillId="0" borderId="76" xfId="0" applyNumberFormat="1" applyFont="1" applyBorder="1" applyAlignment="1">
      <alignment horizontal="center"/>
    </xf>
    <xf numFmtId="203" fontId="11" fillId="0" borderId="81" xfId="0" applyNumberFormat="1" applyFont="1" applyBorder="1" applyAlignment="1">
      <alignment horizontal="center"/>
    </xf>
    <xf numFmtId="203" fontId="11" fillId="0" borderId="0" xfId="0" applyNumberFormat="1" applyFont="1" applyAlignment="1">
      <alignment horizontal="center"/>
    </xf>
    <xf numFmtId="203" fontId="11" fillId="0" borderId="94" xfId="0" applyNumberFormat="1" applyFont="1" applyBorder="1" applyAlignment="1">
      <alignment horizontal="center"/>
    </xf>
    <xf numFmtId="168" fontId="11" fillId="0" borderId="16" xfId="5" applyNumberFormat="1" applyFont="1" applyFill="1" applyBorder="1" applyAlignment="1">
      <alignment horizontal="right"/>
    </xf>
    <xf numFmtId="203" fontId="11" fillId="0" borderId="77" xfId="0" applyNumberFormat="1" applyFont="1" applyBorder="1" applyAlignment="1">
      <alignment horizontal="center"/>
    </xf>
    <xf numFmtId="203" fontId="11" fillId="0" borderId="95" xfId="0" applyNumberFormat="1" applyFont="1" applyBorder="1" applyAlignment="1">
      <alignment horizontal="center"/>
    </xf>
    <xf numFmtId="203" fontId="11" fillId="0" borderId="78" xfId="0" applyNumberFormat="1" applyFont="1" applyBorder="1" applyAlignment="1">
      <alignment horizontal="center"/>
    </xf>
    <xf numFmtId="203" fontId="11" fillId="0" borderId="96" xfId="0" applyNumberFormat="1" applyFont="1" applyBorder="1" applyAlignment="1">
      <alignment horizontal="center"/>
    </xf>
    <xf numFmtId="170" fontId="11" fillId="0" borderId="17" xfId="0" applyNumberFormat="1" applyFont="1" applyBorder="1"/>
    <xf numFmtId="170" fontId="11" fillId="0" borderId="18" xfId="0" applyNumberFormat="1" applyFont="1" applyBorder="1"/>
    <xf numFmtId="170" fontId="11" fillId="0" borderId="99" xfId="0" applyNumberFormat="1" applyFont="1" applyBorder="1"/>
    <xf numFmtId="199" fontId="91" fillId="0" borderId="0" xfId="5" applyNumberFormat="1" applyFont="1" applyFill="1" applyBorder="1" applyAlignment="1">
      <alignment horizontal="right"/>
    </xf>
    <xf numFmtId="170" fontId="40" fillId="0" borderId="2" xfId="0" applyNumberFormat="1" applyFont="1" applyBorder="1" applyAlignment="1">
      <alignment horizontal="right"/>
    </xf>
    <xf numFmtId="168" fontId="11" fillId="0" borderId="0" xfId="10" applyNumberFormat="1" applyFont="1" applyFill="1" applyBorder="1" applyAlignment="1">
      <alignment horizontal="right"/>
    </xf>
    <xf numFmtId="170" fontId="11" fillId="0" borderId="79" xfId="0" applyNumberFormat="1" applyFont="1" applyBorder="1" applyAlignment="1">
      <alignment horizontal="right"/>
    </xf>
    <xf numFmtId="170" fontId="11" fillId="0" borderId="97" xfId="0" applyNumberFormat="1" applyFont="1" applyBorder="1" applyAlignment="1">
      <alignment horizontal="right"/>
    </xf>
    <xf numFmtId="0" fontId="74" fillId="0" borderId="0" xfId="0" applyFont="1" applyAlignment="1">
      <alignment horizontal="center"/>
    </xf>
    <xf numFmtId="0" fontId="11" fillId="0" borderId="10" xfId="0" applyFont="1" applyBorder="1" applyAlignment="1">
      <alignment horizontal="left" indent="1"/>
    </xf>
    <xf numFmtId="0" fontId="74" fillId="0" borderId="11" xfId="0" applyFont="1" applyBorder="1"/>
    <xf numFmtId="193" fontId="47" fillId="0" borderId="11" xfId="0" applyNumberFormat="1" applyFont="1" applyBorder="1" applyAlignment="1">
      <alignment horizontal="right"/>
    </xf>
    <xf numFmtId="0" fontId="11" fillId="0" borderId="15" xfId="0" applyFont="1" applyBorder="1" applyAlignment="1">
      <alignment horizontal="left" indent="1"/>
    </xf>
    <xf numFmtId="0" fontId="74" fillId="0" borderId="2" xfId="0" applyFont="1" applyBorder="1"/>
    <xf numFmtId="170" fontId="11" fillId="0" borderId="16" xfId="0" applyNumberFormat="1" applyFont="1" applyBorder="1"/>
    <xf numFmtId="0" fontId="11" fillId="0" borderId="13" xfId="0" applyFont="1" applyBorder="1" applyAlignment="1">
      <alignment horizontal="left" indent="1"/>
    </xf>
    <xf numFmtId="193" fontId="47" fillId="0" borderId="0" xfId="0" applyNumberFormat="1" applyFont="1" applyAlignment="1">
      <alignment horizontal="right"/>
    </xf>
    <xf numFmtId="0" fontId="74" fillId="0" borderId="13" xfId="0" applyFont="1" applyBorder="1"/>
    <xf numFmtId="0" fontId="93" fillId="0" borderId="0" xfId="0" quotePrefix="1" applyFont="1" applyAlignment="1">
      <alignment horizontal="right"/>
    </xf>
    <xf numFmtId="190" fontId="12" fillId="0" borderId="70" xfId="4" applyNumberFormat="1" applyFont="1" applyFill="1" applyBorder="1"/>
    <xf numFmtId="0" fontId="93" fillId="0" borderId="0" xfId="0" applyFont="1" applyAlignment="1">
      <alignment horizontal="right"/>
    </xf>
    <xf numFmtId="171" fontId="11" fillId="0" borderId="12" xfId="0" applyNumberFormat="1" applyFont="1" applyBorder="1"/>
    <xf numFmtId="173" fontId="36" fillId="0" borderId="0" xfId="0" applyNumberFormat="1" applyFont="1" applyAlignment="1">
      <alignment horizontal="right"/>
    </xf>
    <xf numFmtId="174" fontId="36" fillId="0" borderId="0" xfId="0" applyNumberFormat="1" applyFont="1" applyAlignment="1">
      <alignment horizontal="right"/>
    </xf>
    <xf numFmtId="169" fontId="51" fillId="0" borderId="0" xfId="0" quotePrefix="1" applyNumberFormat="1" applyFont="1" applyAlignment="1">
      <alignment horizontal="right"/>
    </xf>
    <xf numFmtId="200" fontId="11" fillId="0" borderId="12" xfId="5" applyNumberFormat="1" applyFont="1" applyFill="1" applyBorder="1" applyAlignment="1">
      <alignment horizontal="right"/>
    </xf>
    <xf numFmtId="200" fontId="11" fillId="0" borderId="0" xfId="5" applyNumberFormat="1" applyFont="1" applyFill="1" applyBorder="1" applyAlignment="1">
      <alignment horizontal="right"/>
    </xf>
    <xf numFmtId="168" fontId="11" fillId="0" borderId="0" xfId="5" applyNumberFormat="1" applyFont="1" applyFill="1" applyBorder="1" applyAlignment="1">
      <alignment horizontal="right"/>
    </xf>
    <xf numFmtId="170" fontId="40" fillId="0" borderId="10" xfId="0" applyNumberFormat="1" applyFont="1" applyBorder="1"/>
    <xf numFmtId="170" fontId="11" fillId="0" borderId="82" xfId="0" applyNumberFormat="1" applyFont="1" applyBorder="1"/>
    <xf numFmtId="170" fontId="40" fillId="0" borderId="15" xfId="0" applyNumberFormat="1" applyFont="1" applyBorder="1"/>
    <xf numFmtId="170" fontId="11" fillId="0" borderId="83" xfId="0" applyNumberFormat="1" applyFont="1" applyBorder="1"/>
    <xf numFmtId="170" fontId="89" fillId="0" borderId="82" xfId="0" applyNumberFormat="1" applyFont="1" applyBorder="1" applyAlignment="1">
      <alignment horizontal="center"/>
    </xf>
    <xf numFmtId="170" fontId="89" fillId="0" borderId="84" xfId="0" applyNumberFormat="1" applyFont="1" applyBorder="1" applyAlignment="1">
      <alignment horizontal="center"/>
    </xf>
    <xf numFmtId="171" fontId="11" fillId="0" borderId="85" xfId="4" applyNumberFormat="1" applyFont="1" applyFill="1" applyBorder="1" applyAlignment="1">
      <alignment horizontal="center"/>
    </xf>
    <xf numFmtId="168" fontId="11" fillId="0" borderId="0" xfId="4" applyNumberFormat="1" applyFont="1" applyFill="1" applyBorder="1" applyAlignment="1">
      <alignment horizontal="right"/>
    </xf>
    <xf numFmtId="0" fontId="12" fillId="0" borderId="10" xfId="0" applyFont="1" applyBorder="1" applyAlignment="1">
      <alignment horizontal="left" indent="1"/>
    </xf>
    <xf numFmtId="0" fontId="12" fillId="0" borderId="15" xfId="0" applyFont="1" applyBorder="1" applyAlignment="1">
      <alignment horizontal="left" indent="1"/>
    </xf>
    <xf numFmtId="193" fontId="47" fillId="0" borderId="2" xfId="0" applyNumberFormat="1" applyFont="1" applyBorder="1" applyAlignment="1">
      <alignment horizontal="right"/>
    </xf>
    <xf numFmtId="0" fontId="43" fillId="0" borderId="11" xfId="0" applyFont="1" applyBorder="1"/>
    <xf numFmtId="170" fontId="12" fillId="0" borderId="16" xfId="0" applyNumberFormat="1" applyFont="1" applyBorder="1"/>
    <xf numFmtId="0" fontId="12" fillId="0" borderId="13" xfId="0" applyFont="1" applyBorder="1" applyAlignment="1">
      <alignment horizontal="left" indent="1"/>
    </xf>
    <xf numFmtId="0" fontId="80" fillId="0" borderId="0" xfId="0" quotePrefix="1" applyFont="1" applyAlignment="1">
      <alignment horizontal="right"/>
    </xf>
    <xf numFmtId="190" fontId="12" fillId="0" borderId="62" xfId="4" applyNumberFormat="1" applyFont="1" applyFill="1" applyBorder="1"/>
    <xf numFmtId="0" fontId="80" fillId="0" borderId="2" xfId="0" applyFont="1" applyBorder="1" applyAlignment="1">
      <alignment horizontal="right"/>
    </xf>
    <xf numFmtId="171" fontId="11" fillId="0" borderId="86" xfId="0" applyNumberFormat="1" applyFont="1" applyBorder="1"/>
    <xf numFmtId="37" fontId="68" fillId="0" borderId="52" xfId="0" applyNumberFormat="1" applyFont="1" applyBorder="1" applyAlignment="1">
      <alignment vertical="center"/>
    </xf>
    <xf numFmtId="177" fontId="76" fillId="0" borderId="52" xfId="0" quotePrefix="1" applyNumberFormat="1" applyFont="1" applyBorder="1" applyAlignment="1">
      <alignment horizontal="right"/>
    </xf>
    <xf numFmtId="0" fontId="18" fillId="2" borderId="0" xfId="0" applyFont="1" applyFill="1"/>
    <xf numFmtId="0" fontId="18" fillId="2" borderId="102" xfId="0" applyFont="1" applyFill="1" applyBorder="1"/>
    <xf numFmtId="0" fontId="38" fillId="0" borderId="0" xfId="0" applyFont="1"/>
    <xf numFmtId="0" fontId="18" fillId="7" borderId="0" xfId="0" applyFont="1" applyFill="1"/>
    <xf numFmtId="207" fontId="4" fillId="13" borderId="0" xfId="0" applyNumberFormat="1" applyFont="1" applyFill="1"/>
    <xf numFmtId="209" fontId="4" fillId="13" borderId="0" xfId="0" applyNumberFormat="1" applyFont="1" applyFill="1"/>
    <xf numFmtId="207" fontId="18" fillId="13" borderId="0" xfId="0" applyNumberFormat="1" applyFont="1" applyFill="1"/>
    <xf numFmtId="208" fontId="12" fillId="13" borderId="0" xfId="0" applyNumberFormat="1" applyFont="1" applyFill="1"/>
    <xf numFmtId="207" fontId="4" fillId="0" borderId="0" xfId="0" applyNumberFormat="1" applyFont="1"/>
    <xf numFmtId="207" fontId="4" fillId="7" borderId="0" xfId="0" applyNumberFormat="1" applyFont="1" applyFill="1"/>
    <xf numFmtId="209" fontId="4" fillId="7" borderId="0" xfId="0" applyNumberFormat="1" applyFont="1" applyFill="1"/>
    <xf numFmtId="208" fontId="12" fillId="7" borderId="0" xfId="0" applyNumberFormat="1" applyFont="1" applyFill="1"/>
    <xf numFmtId="3" fontId="4" fillId="0" borderId="0" xfId="0" applyNumberFormat="1" applyFont="1"/>
    <xf numFmtId="208" fontId="4" fillId="0" borderId="0" xfId="0" applyNumberFormat="1" applyFont="1"/>
    <xf numFmtId="0" fontId="27" fillId="0" borderId="0" xfId="0" applyFont="1"/>
    <xf numFmtId="208" fontId="27" fillId="0" borderId="0" xfId="0" applyNumberFormat="1" applyFont="1"/>
    <xf numFmtId="0" fontId="27" fillId="0" borderId="101" xfId="0" applyFont="1" applyBorder="1"/>
    <xf numFmtId="4" fontId="27" fillId="0" borderId="101" xfId="0" applyNumberFormat="1" applyFont="1" applyBorder="1"/>
    <xf numFmtId="0" fontId="11" fillId="0" borderId="0" xfId="0" applyFont="1" applyAlignment="1">
      <alignment horizontal="center" vertical="center"/>
    </xf>
    <xf numFmtId="49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3" fillId="0" borderId="3" xfId="0" applyFont="1" applyBorder="1" applyAlignment="1">
      <alignment vertical="center"/>
    </xf>
    <xf numFmtId="0" fontId="42" fillId="0" borderId="3" xfId="0" quotePrefix="1" applyFont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43" fillId="0" borderId="0" xfId="0" applyFont="1" applyAlignment="1">
      <alignment vertical="center"/>
    </xf>
    <xf numFmtId="0" fontId="27" fillId="0" borderId="98" xfId="0" applyFont="1" applyBorder="1"/>
    <xf numFmtId="0" fontId="43" fillId="0" borderId="98" xfId="0" applyFont="1" applyBorder="1"/>
    <xf numFmtId="205" fontId="11" fillId="0" borderId="0" xfId="0" applyNumberFormat="1" applyFont="1" applyAlignment="1">
      <alignment horizontal="right" vertical="center"/>
    </xf>
    <xf numFmtId="206" fontId="11" fillId="0" borderId="0" xfId="7" applyNumberFormat="1" applyFont="1" applyFill="1" applyBorder="1" applyAlignment="1" applyProtection="1">
      <alignment horizontal="right" vertical="center"/>
      <protection locked="0"/>
    </xf>
    <xf numFmtId="201" fontId="38" fillId="0" borderId="0" xfId="3" applyNumberFormat="1" applyFont="1" applyAlignment="1" applyProtection="1">
      <alignment horizontal="center"/>
      <protection locked="0"/>
    </xf>
    <xf numFmtId="201" fontId="47" fillId="0" borderId="0" xfId="3" applyNumberFormat="1" applyFont="1" applyFill="1" applyBorder="1" applyAlignment="1">
      <alignment horizontal="right" vertical="center"/>
    </xf>
    <xf numFmtId="0" fontId="74" fillId="0" borderId="0" xfId="0" applyFont="1" applyAlignment="1">
      <alignment vertical="center"/>
    </xf>
    <xf numFmtId="201" fontId="96" fillId="0" borderId="0" xfId="3" applyNumberFormat="1" applyFont="1" applyFill="1" applyBorder="1" applyAlignment="1" applyProtection="1">
      <alignment vertical="center"/>
      <protection locked="0"/>
    </xf>
    <xf numFmtId="201" fontId="38" fillId="0" borderId="0" xfId="3" applyNumberFormat="1" applyFont="1" applyAlignment="1" applyProtection="1">
      <alignment vertical="center"/>
      <protection locked="0"/>
    </xf>
    <xf numFmtId="0" fontId="42" fillId="0" borderId="0" xfId="0" applyFont="1" applyAlignment="1">
      <alignment horizontal="center" vertical="center"/>
    </xf>
    <xf numFmtId="0" fontId="93" fillId="0" borderId="0" xfId="0" quotePrefix="1" applyFont="1" applyAlignment="1">
      <alignment horizontal="center" vertical="center"/>
    </xf>
    <xf numFmtId="168" fontId="11" fillId="0" borderId="0" xfId="5" applyNumberFormat="1" applyFont="1" applyFill="1" applyBorder="1" applyAlignment="1">
      <alignment vertical="center"/>
    </xf>
    <xf numFmtId="206" fontId="4" fillId="0" borderId="0" xfId="7" applyNumberFormat="1" applyFont="1" applyFill="1" applyBorder="1" applyAlignment="1" applyProtection="1">
      <alignment horizontal="right" vertical="center"/>
      <protection locked="0"/>
    </xf>
    <xf numFmtId="201" fontId="48" fillId="0" borderId="0" xfId="3" applyNumberFormat="1" applyFont="1" applyAlignment="1" applyProtection="1">
      <alignment horizontal="center"/>
      <protection locked="0"/>
    </xf>
    <xf numFmtId="0" fontId="97" fillId="0" borderId="0" xfId="0" applyFont="1" applyAlignment="1">
      <alignment vertical="center"/>
    </xf>
    <xf numFmtId="0" fontId="27" fillId="0" borderId="78" xfId="0" applyFont="1" applyBorder="1" applyAlignment="1">
      <alignment horizontal="left" vertical="center"/>
    </xf>
    <xf numFmtId="0" fontId="43" fillId="0" borderId="78" xfId="0" applyFont="1" applyBorder="1" applyAlignment="1">
      <alignment horizontal="centerContinuous"/>
    </xf>
    <xf numFmtId="0" fontId="46" fillId="0" borderId="90" xfId="0" applyFont="1" applyBorder="1"/>
    <xf numFmtId="0" fontId="27" fillId="0" borderId="78" xfId="0" applyFont="1" applyBorder="1" applyAlignment="1">
      <alignment horizontal="centerContinuous" vertical="center"/>
    </xf>
    <xf numFmtId="0" fontId="36" fillId="0" borderId="78" xfId="0" applyFont="1" applyBorder="1" applyAlignment="1">
      <alignment horizontal="centerContinuous" vertical="center"/>
    </xf>
    <xf numFmtId="0" fontId="74" fillId="0" borderId="78" xfId="0" applyFont="1" applyBorder="1" applyAlignment="1">
      <alignment horizontal="centerContinuous"/>
    </xf>
    <xf numFmtId="204" fontId="98" fillId="6" borderId="3" xfId="0" applyNumberFormat="1" applyFont="1" applyFill="1" applyBorder="1" applyAlignment="1">
      <alignment horizontal="right" vertical="center"/>
    </xf>
    <xf numFmtId="204" fontId="98" fillId="6" borderId="0" xfId="0" applyNumberFormat="1" applyFont="1" applyFill="1" applyAlignment="1">
      <alignment horizontal="right" vertical="center"/>
    </xf>
    <xf numFmtId="170" fontId="98" fillId="6" borderId="0" xfId="0" applyNumberFormat="1" applyFont="1" applyFill="1" applyAlignment="1">
      <alignment vertical="center"/>
    </xf>
    <xf numFmtId="170" fontId="98" fillId="6" borderId="3" xfId="4" applyNumberFormat="1" applyFont="1" applyFill="1" applyBorder="1" applyAlignment="1">
      <alignment vertical="center"/>
    </xf>
    <xf numFmtId="171" fontId="98" fillId="6" borderId="0" xfId="5" applyNumberFormat="1" applyFont="1" applyFill="1" applyBorder="1" applyAlignment="1">
      <alignment horizontal="right" vertical="center"/>
    </xf>
    <xf numFmtId="168" fontId="98" fillId="6" borderId="0" xfId="5" applyNumberFormat="1" applyFont="1" applyFill="1" applyBorder="1" applyAlignment="1">
      <alignment vertical="center"/>
    </xf>
    <xf numFmtId="200" fontId="98" fillId="6" borderId="0" xfId="4" applyNumberFormat="1" applyFont="1" applyFill="1" applyBorder="1" applyAlignment="1">
      <alignment vertical="center"/>
    </xf>
    <xf numFmtId="193" fontId="98" fillId="6" borderId="0" xfId="5" applyNumberFormat="1" applyFont="1" applyFill="1" applyBorder="1" applyAlignment="1">
      <alignment vertical="center"/>
    </xf>
    <xf numFmtId="168" fontId="98" fillId="6" borderId="0" xfId="5" applyNumberFormat="1" applyFont="1" applyFill="1" applyBorder="1" applyAlignment="1">
      <alignment horizontal="right" vertical="center"/>
    </xf>
    <xf numFmtId="171" fontId="98" fillId="6" borderId="0" xfId="4" applyNumberFormat="1" applyFont="1" applyFill="1" applyBorder="1" applyAlignment="1">
      <alignment vertical="center"/>
    </xf>
    <xf numFmtId="190" fontId="12" fillId="0" borderId="0" xfId="4" applyNumberFormat="1" applyFont="1" applyFill="1"/>
    <xf numFmtId="0" fontId="36" fillId="0" borderId="1" xfId="0" applyFont="1" applyBorder="1" applyAlignment="1">
      <alignment horizontal="left" indent="1"/>
    </xf>
    <xf numFmtId="0" fontId="49" fillId="0" borderId="1" xfId="0" applyFont="1" applyBorder="1"/>
    <xf numFmtId="0" fontId="50" fillId="0" borderId="1" xfId="0" applyFont="1" applyBorder="1"/>
    <xf numFmtId="10" fontId="27" fillId="0" borderId="1" xfId="0" applyNumberFormat="1" applyFont="1" applyBorder="1"/>
    <xf numFmtId="2" fontId="4" fillId="0" borderId="0" xfId="5" applyNumberFormat="1" applyFont="1"/>
    <xf numFmtId="0" fontId="9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9" fontId="0" fillId="0" borderId="0" xfId="0" applyNumberFormat="1"/>
    <xf numFmtId="211" fontId="0" fillId="0" borderId="0" xfId="0" applyNumberFormat="1" applyAlignment="1">
      <alignment vertical="center" wrapText="1"/>
    </xf>
    <xf numFmtId="212" fontId="0" fillId="0" borderId="0" xfId="0" applyNumberFormat="1"/>
    <xf numFmtId="0" fontId="20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/>
    </xf>
    <xf numFmtId="0" fontId="43" fillId="0" borderId="0" xfId="0" applyFont="1" applyAlignment="1">
      <alignment horizontal="center"/>
    </xf>
    <xf numFmtId="0" fontId="18" fillId="2" borderId="100" xfId="0" applyFont="1" applyFill="1" applyBorder="1" applyAlignment="1">
      <alignment horizontal="center"/>
    </xf>
    <xf numFmtId="0" fontId="56" fillId="0" borderId="0" xfId="6" applyFont="1" applyBorder="1" applyProtection="1">
      <protection locked="0"/>
    </xf>
    <xf numFmtId="165" fontId="100" fillId="0" borderId="0" xfId="9" applyNumberFormat="1" applyFont="1" applyFill="1" applyBorder="1" applyProtection="1">
      <protection locked="0"/>
    </xf>
  </cellXfs>
  <cellStyles count="15">
    <cellStyle name="Comma" xfId="4" builtinId="3"/>
    <cellStyle name="Comma 2" xfId="3" xr:uid="{851C5FCB-1B48-4A2A-81F0-84678881CC60}"/>
    <cellStyle name="Comma 2 2" xfId="1" xr:uid="{932BA823-4B01-4440-BBA1-1BA6F3D71BFA}"/>
    <cellStyle name="Comma 2 3" xfId="11" xr:uid="{EF55C4E1-322C-41A8-B6D4-630B330A72C3}"/>
    <cellStyle name="Comma 2 4" xfId="12" xr:uid="{2579E655-2193-4BDF-B5D9-0F44A2E1CDEB}"/>
    <cellStyle name="Comma 3" xfId="10" xr:uid="{4F1CF65D-DD73-45D9-BD7C-26A5341C42D7}"/>
    <cellStyle name="Comma 3 2" xfId="14" xr:uid="{B9025495-A177-4B4E-90BE-C8AB548C0991}"/>
    <cellStyle name="Hyperlink" xfId="9" builtinId="8"/>
    <cellStyle name="Hyperlink 2 2" xfId="7" xr:uid="{DFE0FE2B-EE95-4AB8-850A-5F4800216BEE}"/>
    <cellStyle name="Invisible" xfId="8" xr:uid="{F077FF65-83D5-479A-9ED7-5BF222A9073B}"/>
    <cellStyle name="Normal" xfId="0" builtinId="0"/>
    <cellStyle name="Normal 2" xfId="2" xr:uid="{B6C8FC5F-0BA2-4D82-89ED-2F9F8C531F20}"/>
    <cellStyle name="Normal 2 2" xfId="13" xr:uid="{26EDE5F4-A462-4364-A077-45085D61AC00}"/>
    <cellStyle name="Normal 2 2 2" xfId="6" xr:uid="{9723B7B4-37E5-425C-BD28-12BC1EF320A0}"/>
    <cellStyle name="Percent" xfId="5" builtinId="5"/>
  </cellStyles>
  <dxfs count="25"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>
          <fgColor auto="1"/>
          <bgColor rgb="FF947131"/>
        </patternFill>
      </fill>
    </dxf>
    <dxf>
      <font>
        <b/>
        <i val="0"/>
        <color theme="0"/>
      </font>
      <fill>
        <patternFill>
          <fgColor auto="1"/>
          <bgColor rgb="FF947131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211" formatCode="0.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212" formatCode="0\x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4FAB2F"/>
      <color rgb="FF3DC775"/>
      <color rgb="FF1CDA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Outputs!$L$83:$L$86</c:f>
              <c:strCache>
                <c:ptCount val="4"/>
                <c:pt idx="0">
                  <c:v>Comps</c:v>
                </c:pt>
                <c:pt idx="1">
                  <c:v>DCF (Perpetuity Method)</c:v>
                </c:pt>
                <c:pt idx="2">
                  <c:v>DCF (Exit Multiple Method)</c:v>
                </c:pt>
                <c:pt idx="3">
                  <c:v>52-week</c:v>
                </c:pt>
              </c:strCache>
            </c:strRef>
          </c:cat>
          <c:val>
            <c:numRef>
              <c:f>Outputs!$P$83:$P$86</c:f>
              <c:numCache>
                <c:formatCode>#,##0.00_);\(#,##0.00\);\-</c:formatCode>
                <c:ptCount val="4"/>
                <c:pt idx="0" formatCode="#,##0.00">
                  <c:v>55.704033068401259</c:v>
                </c:pt>
                <c:pt idx="1">
                  <c:v>251.02157637053702</c:v>
                </c:pt>
                <c:pt idx="2">
                  <c:v>338.97543102477681</c:v>
                </c:pt>
                <c:pt idx="3" formatCode="General">
                  <c:v>86.62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A-41BD-A4B4-C69E0C2DF97B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Outputs!$L$83:$L$86</c:f>
              <c:strCache>
                <c:ptCount val="4"/>
                <c:pt idx="0">
                  <c:v>Comps</c:v>
                </c:pt>
                <c:pt idx="1">
                  <c:v>DCF (Perpetuity Method)</c:v>
                </c:pt>
                <c:pt idx="2">
                  <c:v>DCF (Exit Multiple Method)</c:v>
                </c:pt>
                <c:pt idx="3">
                  <c:v>52-week</c:v>
                </c:pt>
              </c:strCache>
            </c:strRef>
          </c:cat>
          <c:val>
            <c:numRef>
              <c:f>Outputs!$N$83:$N$86</c:f>
              <c:numCache>
                <c:formatCode>#,##0.00_);\(#,##0.00\);\-</c:formatCode>
                <c:ptCount val="4"/>
                <c:pt idx="0" formatCode="#,##0.00">
                  <c:v>104.1755045362444</c:v>
                </c:pt>
                <c:pt idx="1">
                  <c:v>279.74701113785181</c:v>
                </c:pt>
                <c:pt idx="2">
                  <c:v>409.79326378486286</c:v>
                </c:pt>
                <c:pt idx="3" formatCode="General">
                  <c:v>184.48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DA-41BD-A4B4-C69E0C2DF97B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strRef>
              <c:f>Outputs!$L$83:$L$86</c:f>
              <c:strCache>
                <c:ptCount val="4"/>
                <c:pt idx="0">
                  <c:v>Comps</c:v>
                </c:pt>
                <c:pt idx="1">
                  <c:v>DCF (Perpetuity Method)</c:v>
                </c:pt>
                <c:pt idx="2">
                  <c:v>DCF (Exit Multiple Method)</c:v>
                </c:pt>
                <c:pt idx="3">
                  <c:v>52-week</c:v>
                </c:pt>
              </c:strCache>
            </c:strRef>
          </c:cat>
          <c:val>
            <c:numRef>
              <c:f>Outputs!$O$83:$O$86</c:f>
              <c:numCache>
                <c:formatCode>#,##0.00_);\(#,##0.00\);\-</c:formatCode>
                <c:ptCount val="4"/>
                <c:pt idx="0" formatCode="#,##0.00">
                  <c:v>94.88831129292754</c:v>
                </c:pt>
                <c:pt idx="1">
                  <c:v>275.01775907508369</c:v>
                </c:pt>
                <c:pt idx="2">
                  <c:v>389.07761205668368</c:v>
                </c:pt>
                <c:pt idx="3" formatCode="General">
                  <c:v>176.67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DA-41BD-A4B4-C69E0C2DF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016000" cap="flat" cmpd="sng" algn="ctr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</c:hiLowLines>
        <c:axId val="1609327663"/>
        <c:axId val="1609327183"/>
      </c:stockChart>
      <c:catAx>
        <c:axId val="160932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327183"/>
        <c:crosses val="autoZero"/>
        <c:auto val="1"/>
        <c:lblAlgn val="ctr"/>
        <c:lblOffset val="100"/>
        <c:noMultiLvlLbl val="0"/>
      </c:catAx>
      <c:valAx>
        <c:axId val="1609327183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609327663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35" fmlaLink="$F$5" fmlaRange="$D$12:$D$14" noThreeD="1" sel="2" val="0"/>
</file>

<file path=xl/ctrlProps/ctrlProp2.xml><?xml version="1.0" encoding="utf-8"?>
<formControlPr xmlns="http://schemas.microsoft.com/office/spreadsheetml/2009/9/main" objectType="Drop" dropStyle="combo" dx="35" fmlaLink="$F$5" fmlaRange="$D$12:$D$14" noThreeD="1" sel="2" val="0"/>
</file>

<file path=xl/ctrlProps/ctrlProp3.xml><?xml version="1.0" encoding="utf-8"?>
<formControlPr xmlns="http://schemas.microsoft.com/office/spreadsheetml/2009/9/main" objectType="Drop" dropStyle="combo" dx="35" fmlaLink="Outputs!$F$5" fmlaRange="$B$12:$B$14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80511</xdr:colOff>
      <xdr:row>3</xdr:row>
      <xdr:rowOff>235857</xdr:rowOff>
    </xdr:from>
    <xdr:to>
      <xdr:col>2</xdr:col>
      <xdr:colOff>2030869</xdr:colOff>
      <xdr:row>6</xdr:row>
      <xdr:rowOff>79444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BF3703-F30F-4AB7-9A46-0AA4434DC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425" y="970643"/>
          <a:ext cx="1966686" cy="545716"/>
        </a:xfrm>
        <a:prstGeom prst="rect">
          <a:avLst/>
        </a:prstGeom>
      </xdr:spPr>
    </xdr:pic>
    <xdr:clientData/>
  </xdr:twoCellAnchor>
  <xdr:twoCellAnchor editAs="oneCell">
    <xdr:from>
      <xdr:col>2</xdr:col>
      <xdr:colOff>80511</xdr:colOff>
      <xdr:row>3</xdr:row>
      <xdr:rowOff>235857</xdr:rowOff>
    </xdr:from>
    <xdr:to>
      <xdr:col>2</xdr:col>
      <xdr:colOff>2030869</xdr:colOff>
      <xdr:row>6</xdr:row>
      <xdr:rowOff>25016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906C74-C92E-47B3-93B6-6A6CFF132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425" y="970643"/>
          <a:ext cx="1966686" cy="5457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4354</xdr:colOff>
      <xdr:row>0</xdr:row>
      <xdr:rowOff>0</xdr:rowOff>
    </xdr:from>
    <xdr:to>
      <xdr:col>1</xdr:col>
      <xdr:colOff>2106386</xdr:colOff>
      <xdr:row>0</xdr:row>
      <xdr:rowOff>740229</xdr:rowOff>
    </xdr:to>
    <xdr:pic>
      <xdr:nvPicPr>
        <xdr:cNvPr id="4" name="Picture 3" descr="Nvidia Logo Wallpaper 4K, Dark background">
          <a:extLst>
            <a:ext uri="{FF2B5EF4-FFF2-40B4-BE49-F238E27FC236}">
              <a16:creationId xmlns:a16="http://schemas.microsoft.com/office/drawing/2014/main" id="{99D1934E-FD78-4BE6-BB4A-71A12DA857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3" t="16072" r="9400" b="19195"/>
        <a:stretch/>
      </xdr:blipFill>
      <xdr:spPr bwMode="auto">
        <a:xfrm>
          <a:off x="260168" y="0"/>
          <a:ext cx="2102032" cy="740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4354</xdr:colOff>
      <xdr:row>0</xdr:row>
      <xdr:rowOff>0</xdr:rowOff>
    </xdr:from>
    <xdr:to>
      <xdr:col>1</xdr:col>
      <xdr:colOff>2106386</xdr:colOff>
      <xdr:row>1</xdr:row>
      <xdr:rowOff>5443</xdr:rowOff>
    </xdr:to>
    <xdr:pic>
      <xdr:nvPicPr>
        <xdr:cNvPr id="2" name="Picture 1" descr="Nvidia Logo Wallpaper 4K, Dark background">
          <a:extLst>
            <a:ext uri="{FF2B5EF4-FFF2-40B4-BE49-F238E27FC236}">
              <a16:creationId xmlns:a16="http://schemas.microsoft.com/office/drawing/2014/main" id="{6242BF40-78E4-4D3B-B7F8-23D4D824EA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3" t="16072" r="9400" b="19195"/>
        <a:stretch/>
      </xdr:blipFill>
      <xdr:spPr bwMode="auto">
        <a:xfrm>
          <a:off x="260168" y="0"/>
          <a:ext cx="2102032" cy="751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4354</xdr:colOff>
      <xdr:row>0</xdr:row>
      <xdr:rowOff>0</xdr:rowOff>
    </xdr:from>
    <xdr:to>
      <xdr:col>1</xdr:col>
      <xdr:colOff>2106386</xdr:colOff>
      <xdr:row>1</xdr:row>
      <xdr:rowOff>5443</xdr:rowOff>
    </xdr:to>
    <xdr:pic>
      <xdr:nvPicPr>
        <xdr:cNvPr id="3" name="Picture 2" descr="Nvidia Logo Wallpaper 4K, Dark background">
          <a:extLst>
            <a:ext uri="{FF2B5EF4-FFF2-40B4-BE49-F238E27FC236}">
              <a16:creationId xmlns:a16="http://schemas.microsoft.com/office/drawing/2014/main" id="{366DC4EC-4652-4BA2-8518-3C273555ED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3" t="16072" r="9400" b="19195"/>
        <a:stretch/>
      </xdr:blipFill>
      <xdr:spPr bwMode="auto">
        <a:xfrm>
          <a:off x="657497" y="0"/>
          <a:ext cx="2102032" cy="751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298268</xdr:colOff>
      <xdr:row>0</xdr:row>
      <xdr:rowOff>0</xdr:rowOff>
    </xdr:from>
    <xdr:to>
      <xdr:col>1</xdr:col>
      <xdr:colOff>2100943</xdr:colOff>
      <xdr:row>1</xdr:row>
      <xdr:rowOff>10886</xdr:rowOff>
    </xdr:to>
    <xdr:pic>
      <xdr:nvPicPr>
        <xdr:cNvPr id="3" name="Picture 2" descr="Nvidia Logo Wallpaper 4K, Dark background">
          <a:extLst>
            <a:ext uri="{FF2B5EF4-FFF2-40B4-BE49-F238E27FC236}">
              <a16:creationId xmlns:a16="http://schemas.microsoft.com/office/drawing/2014/main" id="{0E9A9C6F-305B-46C6-912E-4E661482E4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3" t="16072" r="9400" b="19195"/>
        <a:stretch/>
      </xdr:blipFill>
      <xdr:spPr bwMode="auto">
        <a:xfrm>
          <a:off x="298268" y="0"/>
          <a:ext cx="2102032" cy="756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281665</xdr:colOff>
      <xdr:row>0</xdr:row>
      <xdr:rowOff>718456</xdr:rowOff>
    </xdr:to>
    <xdr:pic>
      <xdr:nvPicPr>
        <xdr:cNvPr id="3" name="Picture 2" descr="Nvidia Logo Wallpaper 4K, Dark background">
          <a:extLst>
            <a:ext uri="{FF2B5EF4-FFF2-40B4-BE49-F238E27FC236}">
              <a16:creationId xmlns:a16="http://schemas.microsoft.com/office/drawing/2014/main" id="{DE7E6A46-0F00-4785-B846-1D6F30593B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3" t="16072" r="9400" b="19195"/>
        <a:stretch/>
      </xdr:blipFill>
      <xdr:spPr bwMode="auto">
        <a:xfrm>
          <a:off x="647700" y="0"/>
          <a:ext cx="1865545" cy="718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745671</xdr:colOff>
          <xdr:row>4</xdr:row>
          <xdr:rowOff>32657</xdr:rowOff>
        </xdr:from>
        <xdr:to>
          <xdr:col>5</xdr:col>
          <xdr:colOff>723900</xdr:colOff>
          <xdr:row>5</xdr:row>
          <xdr:rowOff>21771</xdr:rowOff>
        </xdr:to>
        <xdr:sp macro="" textlink="">
          <xdr:nvSpPr>
            <xdr:cNvPr id="8202" name="Drop Dow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696686</xdr:colOff>
          <xdr:row>41</xdr:row>
          <xdr:rowOff>0</xdr:rowOff>
        </xdr:from>
        <xdr:to>
          <xdr:col>5</xdr:col>
          <xdr:colOff>674914</xdr:colOff>
          <xdr:row>41</xdr:row>
          <xdr:rowOff>212271</xdr:rowOff>
        </xdr:to>
        <xdr:sp macro="" textlink="">
          <xdr:nvSpPr>
            <xdr:cNvPr id="8204" name="Drop Dow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206830</xdr:colOff>
      <xdr:row>78</xdr:row>
      <xdr:rowOff>136070</xdr:rowOff>
    </xdr:from>
    <xdr:to>
      <xdr:col>10</xdr:col>
      <xdr:colOff>413658</xdr:colOff>
      <xdr:row>94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A2E833-82E5-28C8-B932-CDF86AD25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65315</xdr:colOff>
      <xdr:row>88</xdr:row>
      <xdr:rowOff>0</xdr:rowOff>
    </xdr:from>
    <xdr:to>
      <xdr:col>10</xdr:col>
      <xdr:colOff>293914</xdr:colOff>
      <xdr:row>88</xdr:row>
      <xdr:rowOff>16329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06B7122-5F35-D2AD-734F-531B8834E589}"/>
            </a:ext>
          </a:extLst>
        </xdr:cNvPr>
        <xdr:cNvCxnSpPr/>
      </xdr:nvCxnSpPr>
      <xdr:spPr>
        <a:xfrm>
          <a:off x="283029" y="19746686"/>
          <a:ext cx="5785756" cy="16329"/>
        </a:xfrm>
        <a:prstGeom prst="line">
          <a:avLst/>
        </a:prstGeom>
        <a:ln w="1270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20683</xdr:colOff>
      <xdr:row>0</xdr:row>
      <xdr:rowOff>1</xdr:rowOff>
    </xdr:from>
    <xdr:to>
      <xdr:col>2</xdr:col>
      <xdr:colOff>1008457</xdr:colOff>
      <xdr:row>1</xdr:row>
      <xdr:rowOff>5444</xdr:rowOff>
    </xdr:to>
    <xdr:pic>
      <xdr:nvPicPr>
        <xdr:cNvPr id="2" name="Picture 1" descr="Nvidia Logo Wallpaper 4K, Dark background">
          <a:extLst>
            <a:ext uri="{FF2B5EF4-FFF2-40B4-BE49-F238E27FC236}">
              <a16:creationId xmlns:a16="http://schemas.microsoft.com/office/drawing/2014/main" id="{05746145-2209-437D-AB8A-0BCF12A951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3" t="16072" r="9400" b="19195"/>
        <a:stretch/>
      </xdr:blipFill>
      <xdr:spPr bwMode="auto">
        <a:xfrm>
          <a:off x="205740" y="1"/>
          <a:ext cx="1869517" cy="751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892629</xdr:colOff>
          <xdr:row>5</xdr:row>
          <xdr:rowOff>206829</xdr:rowOff>
        </xdr:from>
        <xdr:to>
          <xdr:col>4</xdr:col>
          <xdr:colOff>283029</xdr:colOff>
          <xdr:row>7</xdr:row>
          <xdr:rowOff>16329</xdr:rowOff>
        </xdr:to>
        <xdr:sp macro="" textlink="">
          <xdr:nvSpPr>
            <xdr:cNvPr id="9219" name="Drop Dow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5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20683</xdr:colOff>
      <xdr:row>0</xdr:row>
      <xdr:rowOff>1</xdr:rowOff>
    </xdr:from>
    <xdr:to>
      <xdr:col>2</xdr:col>
      <xdr:colOff>375557</xdr:colOff>
      <xdr:row>0</xdr:row>
      <xdr:rowOff>720567</xdr:rowOff>
    </xdr:to>
    <xdr:pic>
      <xdr:nvPicPr>
        <xdr:cNvPr id="2" name="Picture 1" descr="Nvidia Logo Wallpaper 4K, Dark background">
          <a:extLst>
            <a:ext uri="{FF2B5EF4-FFF2-40B4-BE49-F238E27FC236}">
              <a16:creationId xmlns:a16="http://schemas.microsoft.com/office/drawing/2014/main" id="{514F9095-F7C2-4A69-9AD7-04A9333ABA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3" t="16072" r="9400" b="19195"/>
        <a:stretch/>
      </xdr:blipFill>
      <xdr:spPr bwMode="auto">
        <a:xfrm>
          <a:off x="198409" y="1"/>
          <a:ext cx="1865545" cy="718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tvi\Downloads\DCF%20Valuation%20Model%20(Complete)%20(1).xlsx" TargetMode="External"/><Relationship Id="rId1" Type="http://schemas.openxmlformats.org/officeDocument/2006/relationships/externalLinkPath" Target="file:///C:\Users\sutvi\Downloads\DCF%20Valuation%20Model%20(Complete)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tvi\Downloads\DCF%20Valuation%20Model%20(Complete).xlsx" TargetMode="External"/><Relationship Id="rId1" Type="http://schemas.openxmlformats.org/officeDocument/2006/relationships/externalLinkPath" Target="file:///C:\Users\sutvi\Downloads\DCF%20Valuation%20Model%20(Complet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utputs"/>
      <sheetName val="Inputs"/>
      <sheetName val="Model"/>
    </sheetNames>
    <sheetDataSet>
      <sheetData sheetId="0"/>
      <sheetData sheetId="1">
        <row r="14">
          <cell r="D14" t="str">
            <v>Best Case</v>
          </cell>
        </row>
        <row r="15">
          <cell r="D15" t="str">
            <v>Base Case</v>
          </cell>
        </row>
        <row r="16">
          <cell r="D16" t="str">
            <v>Worst Case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utputs"/>
      <sheetName val="Inputs"/>
      <sheetName val="Model"/>
      <sheetName val="Sheet1"/>
    </sheetNames>
    <sheetDataSet>
      <sheetData sheetId="0"/>
      <sheetData sheetId="1"/>
      <sheetData sheetId="2">
        <row r="97">
          <cell r="L97">
            <v>24128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0C12C-171A-4A81-A92A-A6D1076BA812}" name="tbl_Scenarios" displayName="tbl_Scenarios" ref="B3:H6" totalsRowShown="0">
  <autoFilter ref="B3:H6" xr:uid="{EF20C12C-171A-4A81-A92A-A6D1076BA812}"/>
  <tableColumns count="7">
    <tableColumn id="1" xr3:uid="{D08723EA-3A77-4954-BC6E-7A43E126996F}" name="Scenario"/>
    <tableColumn id="2" xr3:uid="{438714A4-865B-4885-A791-959666F92E1A}" name="WACC" dataDxfId="24"/>
    <tableColumn id="3" xr3:uid="{440C03EF-D67C-4F27-AADF-C06BA9F385F3}" name="LT_Growth" dataDxfId="23"/>
    <tableColumn id="4" xr3:uid="{88D9A22C-2DD1-4941-96BF-D2C43E22E2D3}" name="Terminal_Multiple" dataDxfId="22"/>
    <tableColumn id="5" xr3:uid="{020EE253-EB89-4F78-8B28-B6B7C4AF7132}" name="Rev_CAGR" dataDxfId="21"/>
    <tableColumn id="6" xr3:uid="{38F89921-3F42-4D66-A625-2D80ECA383D7}" name="LT_OpMargin" dataDxfId="20"/>
    <tableColumn id="7" xr3:uid="{E08F8F26-E0F1-47B6-8C8B-C33FF9BD148F}" name="FCF_Margin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338128-962B-4309-9FB2-82E10DB51548}" name="tbl_Methods" displayName="tbl_Methods" ref="B9:C12" totalsRowShown="0" headerRowDxfId="18" dataDxfId="17">
  <autoFilter ref="B9:C12" xr:uid="{2D338128-962B-4309-9FB2-82E10DB51548}"/>
  <tableColumns count="2">
    <tableColumn id="1" xr3:uid="{5BFE320C-AA3A-43C7-8FB5-0D5914F419DA}" name="Method" dataDxfId="16"/>
    <tableColumn id="2" xr3:uid="{DB8BA55B-44C1-40F4-A665-BE04B6F0D392}" name="Type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2C8EC0-EF4F-4BF2-A5B7-E9C8B4CEE132}" name="tbl_Valuation" displayName="tbl_Valuation" ref="B15:D24" totalsRowShown="0" headerRowDxfId="14">
  <autoFilter ref="B15:D24" xr:uid="{7F2C8EC0-EF4F-4BF2-A5B7-E9C8B4CEE132}"/>
  <tableColumns count="3">
    <tableColumn id="1" xr3:uid="{9BEDA460-29B1-4FB8-BD53-23AE275E0629}" name="Scenario" dataDxfId="13"/>
    <tableColumn id="2" xr3:uid="{F73A6752-3FC5-4D4F-99E5-42465D1B2312}" name="Method" dataDxfId="12"/>
    <tableColumn id="3" xr3:uid="{5E515458-CB26-4EBA-BA10-A64BC42EC9F6}" name="ImpliedPrice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0CFE13-5EC4-4C9E-BC98-4FA5E29910A2}" name="tbl_Forecast" displayName="tbl_Forecast" ref="B27:F32" totalsRowShown="0" headerRowDxfId="10" dataDxfId="9">
  <autoFilter ref="B27:F32" xr:uid="{5A0CFE13-5EC4-4C9E-BC98-4FA5E29910A2}"/>
  <tableColumns count="5">
    <tableColumn id="1" xr3:uid="{B81C22FC-3E4E-42C1-B5C1-B16A53309969}" name="Year" dataDxfId="8"/>
    <tableColumn id="2" xr3:uid="{447348FB-959E-40AE-ABFA-62A16B00E10B}" name="Scenario" dataDxfId="7"/>
    <tableColumn id="3" xr3:uid="{F591474E-FA07-4D61-9248-DDE99FADD9A0}" name="Revenue" dataDxfId="6"/>
    <tableColumn id="4" xr3:uid="{8FE15B72-4731-44BA-B4A7-E3DDB77D3972}" name="EBIT" dataDxfId="5"/>
    <tableColumn id="5" xr3:uid="{F0019250-7F83-4688-B451-A1C4E53A5190}" name="FCF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3F1E-5D5C-49C6-B5B6-E64712616CF7}">
  <dimension ref="A1:N42"/>
  <sheetViews>
    <sheetView showGridLines="0" tabSelected="1" topLeftCell="A4" workbookViewId="0">
      <selection activeCell="D15" sqref="D15"/>
    </sheetView>
  </sheetViews>
  <sheetFormatPr defaultColWidth="9.15234375" defaultRowHeight="19.5" customHeight="1"/>
  <cols>
    <col min="1" max="1" width="4.69140625" style="183" customWidth="1"/>
    <col min="2" max="2" width="4.84375" style="183" customWidth="1"/>
    <col min="3" max="3" width="36.69140625" style="183" customWidth="1"/>
    <col min="4" max="11" width="10.69140625" style="183" customWidth="1"/>
    <col min="12" max="12" width="26.69140625" style="183" customWidth="1"/>
    <col min="13" max="13" width="10.69140625" style="183" customWidth="1"/>
    <col min="14" max="14" width="4.84375" style="183" customWidth="1"/>
    <col min="15" max="16384" width="9.15234375" style="183"/>
  </cols>
  <sheetData>
    <row r="1" spans="1:14" ht="19.5" customHeight="1" thickBot="1">
      <c r="A1" s="209"/>
    </row>
    <row r="2" spans="1:14" ht="19.5" customHeight="1" thickTop="1">
      <c r="B2" s="174"/>
      <c r="C2" s="175"/>
      <c r="D2" s="175"/>
      <c r="E2" s="175"/>
      <c r="F2" s="176"/>
      <c r="G2" s="176"/>
      <c r="H2" s="176"/>
      <c r="I2" s="176"/>
      <c r="J2" s="176"/>
      <c r="K2" s="176"/>
      <c r="L2" s="176"/>
      <c r="M2" s="176"/>
      <c r="N2" s="177"/>
    </row>
    <row r="3" spans="1:14" ht="19.5" customHeight="1">
      <c r="B3" s="178"/>
      <c r="C3" s="179"/>
      <c r="D3" s="179"/>
      <c r="E3" s="179"/>
      <c r="F3" s="180"/>
      <c r="G3" s="180"/>
      <c r="H3" s="180"/>
      <c r="I3" s="180"/>
      <c r="J3" s="180"/>
      <c r="K3" s="180"/>
      <c r="L3" s="180"/>
      <c r="M3" s="180"/>
      <c r="N3" s="181"/>
    </row>
    <row r="4" spans="1:14" ht="19.5" customHeight="1">
      <c r="B4" s="178"/>
      <c r="C4" s="179"/>
      <c r="D4" s="179"/>
      <c r="E4" s="179"/>
      <c r="F4" s="180"/>
      <c r="G4" s="180"/>
      <c r="H4" s="180"/>
      <c r="I4" s="180"/>
      <c r="J4" s="180"/>
      <c r="K4" s="180"/>
      <c r="L4" s="180"/>
      <c r="M4" s="180"/>
      <c r="N4" s="181"/>
    </row>
    <row r="5" spans="1:14" ht="19.5" customHeight="1">
      <c r="B5" s="178"/>
      <c r="C5" s="179"/>
      <c r="D5" s="179"/>
      <c r="E5" s="179"/>
      <c r="F5" s="180"/>
      <c r="G5" s="180"/>
      <c r="H5" s="180"/>
      <c r="I5" s="180"/>
      <c r="J5" s="180"/>
      <c r="K5" s="180"/>
      <c r="L5" s="180"/>
      <c r="M5" s="180"/>
      <c r="N5" s="181"/>
    </row>
    <row r="6" spans="1:14" ht="19.5" customHeight="1">
      <c r="B6" s="178"/>
      <c r="C6" s="179"/>
      <c r="D6" s="179"/>
      <c r="E6" s="179"/>
      <c r="F6" s="180"/>
      <c r="G6" s="180"/>
      <c r="H6" s="180"/>
      <c r="I6" s="180"/>
      <c r="J6" s="180"/>
      <c r="K6" s="180"/>
      <c r="L6" s="180"/>
      <c r="M6" s="180"/>
      <c r="N6" s="181"/>
    </row>
    <row r="7" spans="1:14" ht="19.5" customHeight="1">
      <c r="B7" s="178"/>
      <c r="C7" s="179"/>
      <c r="D7" s="179"/>
      <c r="E7" s="179"/>
      <c r="F7" s="180"/>
      <c r="G7" s="180"/>
      <c r="H7" s="180"/>
      <c r="I7" s="180"/>
      <c r="J7" s="180"/>
      <c r="K7" s="180"/>
      <c r="L7" s="180"/>
      <c r="M7" s="180"/>
      <c r="N7" s="181"/>
    </row>
    <row r="8" spans="1:14" ht="19.5" customHeight="1">
      <c r="B8" s="178"/>
      <c r="C8" s="179"/>
      <c r="D8" s="179"/>
      <c r="E8" s="179"/>
      <c r="F8" s="180"/>
      <c r="G8" s="180"/>
      <c r="H8" s="180"/>
      <c r="I8" s="180"/>
      <c r="J8" s="180"/>
      <c r="K8" s="180"/>
      <c r="L8" s="180"/>
      <c r="M8" s="180"/>
      <c r="N8" s="181"/>
    </row>
    <row r="9" spans="1:14" ht="19.5" customHeight="1">
      <c r="B9" s="178"/>
      <c r="C9" s="179"/>
      <c r="D9" s="179"/>
      <c r="E9" s="179"/>
      <c r="F9" s="180"/>
      <c r="G9" s="180"/>
      <c r="H9" s="180"/>
      <c r="I9" s="180"/>
      <c r="J9" s="180"/>
      <c r="K9" s="180"/>
      <c r="L9" s="180"/>
      <c r="M9" s="180"/>
      <c r="N9" s="181"/>
    </row>
    <row r="10" spans="1:14" ht="19.5" customHeight="1">
      <c r="B10" s="182"/>
      <c r="N10" s="184"/>
    </row>
    <row r="11" spans="1:14" ht="28.5" customHeight="1">
      <c r="B11" s="182"/>
      <c r="C11" s="185" t="s">
        <v>505</v>
      </c>
      <c r="M11" s="186" t="s">
        <v>299</v>
      </c>
      <c r="N11" s="184"/>
    </row>
    <row r="12" spans="1:14" ht="19.5" customHeight="1">
      <c r="B12" s="182"/>
      <c r="C12" s="187"/>
      <c r="K12" s="188"/>
      <c r="N12" s="184"/>
    </row>
    <row r="13" spans="1:14" ht="19.5" customHeight="1">
      <c r="B13" s="182"/>
      <c r="C13" s="189" t="s">
        <v>300</v>
      </c>
      <c r="D13" s="190"/>
      <c r="E13" s="190"/>
      <c r="F13" s="190"/>
      <c r="G13" s="190"/>
      <c r="H13" s="191" t="s">
        <v>301</v>
      </c>
      <c r="I13" s="192"/>
      <c r="J13" s="192"/>
      <c r="K13" s="192"/>
      <c r="L13" s="193"/>
      <c r="M13" s="194"/>
      <c r="N13" s="184"/>
    </row>
    <row r="14" spans="1:14" ht="19.5" customHeight="1">
      <c r="B14" s="182"/>
      <c r="C14" s="721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84"/>
    </row>
    <row r="15" spans="1:14" ht="19.5" customHeight="1">
      <c r="B15" s="182"/>
      <c r="C15" s="722" t="s">
        <v>7</v>
      </c>
      <c r="D15" s="190"/>
      <c r="E15" s="190"/>
      <c r="F15" s="190"/>
      <c r="G15" s="190"/>
      <c r="H15" s="196" t="s">
        <v>303</v>
      </c>
      <c r="M15" s="197">
        <f>Inputs!$F$102</f>
        <v>0</v>
      </c>
      <c r="N15" s="184"/>
    </row>
    <row r="16" spans="1:14" ht="19.5" customHeight="1">
      <c r="B16" s="182"/>
      <c r="C16" s="722" t="s">
        <v>9</v>
      </c>
      <c r="D16" s="190"/>
      <c r="E16" s="190"/>
      <c r="F16" s="190"/>
      <c r="G16" s="190"/>
      <c r="H16" s="196" t="s">
        <v>305</v>
      </c>
      <c r="M16" s="197">
        <f>Inputs!$F$102</f>
        <v>0</v>
      </c>
      <c r="N16" s="184"/>
    </row>
    <row r="17" spans="2:14" ht="19.5" customHeight="1">
      <c r="B17" s="182"/>
      <c r="C17" s="722" t="s">
        <v>503</v>
      </c>
      <c r="D17" s="190"/>
      <c r="E17" s="190"/>
      <c r="F17" s="190"/>
      <c r="G17" s="190"/>
      <c r="H17" s="196" t="s">
        <v>307</v>
      </c>
      <c r="M17" s="197">
        <f>Inputs!$F$112</f>
        <v>0</v>
      </c>
      <c r="N17" s="184"/>
    </row>
    <row r="18" spans="2:14" ht="19.5" customHeight="1">
      <c r="B18" s="182"/>
      <c r="C18" s="195" t="s">
        <v>302</v>
      </c>
      <c r="D18" s="190"/>
      <c r="E18" s="190"/>
      <c r="F18" s="190"/>
      <c r="G18" s="190"/>
      <c r="H18" s="196" t="s">
        <v>308</v>
      </c>
      <c r="L18" s="196"/>
      <c r="M18" s="197">
        <f>Model!$D$189</f>
        <v>0</v>
      </c>
      <c r="N18" s="184"/>
    </row>
    <row r="19" spans="2:14" ht="19.5" customHeight="1">
      <c r="B19" s="182"/>
      <c r="C19" s="195" t="s">
        <v>304</v>
      </c>
      <c r="D19" s="190"/>
      <c r="E19" s="190"/>
      <c r="F19" s="190"/>
      <c r="G19" s="190"/>
      <c r="H19" s="196" t="s">
        <v>309</v>
      </c>
      <c r="L19" s="196"/>
      <c r="M19" s="197">
        <f>Model!$D$226</f>
        <v>0</v>
      </c>
      <c r="N19" s="184"/>
    </row>
    <row r="20" spans="2:14" ht="19.5" customHeight="1">
      <c r="B20" s="182"/>
      <c r="C20" s="195" t="s">
        <v>306</v>
      </c>
      <c r="D20" s="190"/>
      <c r="E20" s="190"/>
      <c r="F20" s="190"/>
      <c r="G20" s="190"/>
      <c r="H20" s="196" t="s">
        <v>310</v>
      </c>
      <c r="L20" s="196"/>
      <c r="M20" s="197">
        <f>IF(SUM(Model!$I$286:$N$286)&gt;0,1,0)</f>
        <v>0</v>
      </c>
      <c r="N20" s="184"/>
    </row>
    <row r="21" spans="2:14" ht="19.5" customHeight="1">
      <c r="B21" s="182"/>
      <c r="C21" s="195" t="s">
        <v>504</v>
      </c>
      <c r="D21" s="190"/>
      <c r="E21" s="190"/>
      <c r="F21" s="190"/>
      <c r="G21" s="190"/>
      <c r="H21" s="196"/>
      <c r="L21" s="196"/>
      <c r="M21" s="197"/>
      <c r="N21" s="184"/>
    </row>
    <row r="22" spans="2:14" ht="19.5" customHeight="1">
      <c r="B22" s="182"/>
      <c r="C22" s="198"/>
      <c r="D22" s="190"/>
      <c r="E22" s="190"/>
      <c r="F22" s="190"/>
      <c r="G22" s="190"/>
      <c r="N22" s="184"/>
    </row>
    <row r="23" spans="2:14" ht="19.5" customHeight="1">
      <c r="B23" s="182"/>
      <c r="C23" s="198"/>
      <c r="D23" s="190"/>
      <c r="E23" s="190"/>
      <c r="F23" s="190"/>
      <c r="G23" s="190"/>
      <c r="N23" s="184"/>
    </row>
    <row r="24" spans="2:14" ht="19.5" customHeight="1">
      <c r="B24" s="182"/>
      <c r="C24" s="198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84"/>
    </row>
    <row r="25" spans="2:14" ht="19.5" customHeight="1">
      <c r="B25" s="182"/>
      <c r="C25" s="198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84"/>
    </row>
    <row r="26" spans="2:14" ht="19.5" customHeight="1">
      <c r="B26" s="182"/>
      <c r="C26" s="198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84"/>
    </row>
    <row r="27" spans="2:14" ht="19.5" customHeight="1">
      <c r="B27" s="182"/>
      <c r="C27" s="198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84"/>
    </row>
    <row r="28" spans="2:14" ht="19.5" customHeight="1">
      <c r="B28" s="182"/>
      <c r="C28" s="199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84"/>
    </row>
    <row r="29" spans="2:14" ht="19.5" customHeight="1">
      <c r="B29" s="182"/>
      <c r="C29" s="199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84"/>
    </row>
    <row r="30" spans="2:14" ht="19.5" customHeight="1">
      <c r="B30" s="182"/>
      <c r="C30" s="200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184"/>
    </row>
    <row r="31" spans="2:14" ht="19.5" customHeight="1">
      <c r="B31" s="182"/>
      <c r="C31" s="201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184"/>
    </row>
    <row r="32" spans="2:14" ht="19.5" customHeight="1">
      <c r="B32" s="182"/>
      <c r="C32" s="201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184"/>
    </row>
    <row r="33" spans="2:14" ht="19.5" customHeight="1">
      <c r="B33" s="182"/>
      <c r="C33" s="202" t="s">
        <v>311</v>
      </c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184"/>
    </row>
    <row r="34" spans="2:14" ht="19.5" customHeight="1">
      <c r="B34" s="182"/>
      <c r="C34" s="204" t="s">
        <v>312</v>
      </c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184"/>
    </row>
    <row r="35" spans="2:14" ht="19.5" customHeight="1">
      <c r="B35" s="182"/>
      <c r="C35" s="204" t="s">
        <v>313</v>
      </c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184"/>
    </row>
    <row r="36" spans="2:14" ht="19.5" customHeight="1">
      <c r="B36" s="182"/>
      <c r="C36" s="204" t="s">
        <v>314</v>
      </c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184"/>
    </row>
    <row r="37" spans="2:14" ht="19.5" customHeight="1">
      <c r="B37" s="182"/>
      <c r="C37" s="204" t="s">
        <v>315</v>
      </c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184"/>
    </row>
    <row r="38" spans="2:14" ht="19.5" customHeight="1" thickBot="1">
      <c r="B38" s="206"/>
      <c r="C38" s="204" t="s">
        <v>316</v>
      </c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8" t="s">
        <v>132</v>
      </c>
    </row>
    <row r="39" spans="2:14" ht="19.5" customHeight="1" thickTop="1">
      <c r="C39" s="204"/>
    </row>
    <row r="40" spans="2:14" ht="19.5" customHeight="1">
      <c r="C40" s="204" t="s">
        <v>317</v>
      </c>
    </row>
    <row r="41" spans="2:14" ht="19.5" customHeight="1" thickBot="1">
      <c r="C41" s="207"/>
    </row>
    <row r="42" spans="2:14" ht="19.5" customHeight="1" thickTop="1"/>
  </sheetData>
  <conditionalFormatting sqref="M15:M20">
    <cfRule type="expression" dxfId="3" priority="1">
      <formula>M15=1</formula>
    </cfRule>
  </conditionalFormatting>
  <hyperlinks>
    <hyperlink ref="C18" location="Outputs!A1" tooltip="Outputs" display="Outputs" xr:uid="{112DBDFC-1B97-4F95-8C2B-B53D6C46FA66}"/>
    <hyperlink ref="C40" r:id="rId1" xr:uid="{B3AF7595-991D-41B1-BBCD-19B3CDDB06BE}"/>
    <hyperlink ref="C19:C20" location="Model!A1" display="Cover" xr:uid="{F41A22B5-1DD6-4462-957C-C2B401446F5C}"/>
    <hyperlink ref="C19" location="Inputs!A1" tooltip="Inputs" display="Inputs" xr:uid="{0F7E7E49-1AB5-4CA9-9680-35FEE9CF6CA3}"/>
    <hyperlink ref="C20" location="Model!A1" tooltip="Model" display="Model" xr:uid="{08B72C4F-7791-4EA2-A763-00F8ADC64550}"/>
    <hyperlink ref="C15" location="'Income Statement'!A1" display="Income Statement" xr:uid="{5B1C8596-CD2F-4CDF-8602-FBA7EBE2A9EB}"/>
    <hyperlink ref="C16" location="'Balance Sheet'!A1" display="Balance Sheet" xr:uid="{0025A958-3F58-4165-9A62-8802C9EB9F7D}"/>
    <hyperlink ref="C17" location="'Cashflow Statement'!A1" display="Cashflow Statement" xr:uid="{9F8C9F35-1482-496B-9F87-2CACA17A8A83}"/>
    <hyperlink ref="C21" location="'PBI - Export'!A1" display="PBI - Export" xr:uid="{6BC3FF26-85F5-41C3-ABE3-A2520226AED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2871-20E0-4D56-8FC5-2DD62E8D670E}">
  <dimension ref="A1:IN107"/>
  <sheetViews>
    <sheetView showGridLines="0" workbookViewId="0"/>
  </sheetViews>
  <sheetFormatPr defaultRowHeight="17.600000000000001"/>
  <cols>
    <col min="1" max="1" width="3.61328125" style="8" customWidth="1"/>
    <col min="2" max="2" width="30.765625" style="8" customWidth="1"/>
    <col min="3" max="8" width="14.84375" style="8" customWidth="1"/>
    <col min="9" max="249" width="9.23046875" style="8"/>
    <col min="250" max="250" width="45.84375" style="8" customWidth="1"/>
    <col min="251" max="264" width="14.84375" style="8" customWidth="1"/>
    <col min="265" max="505" width="9.23046875" style="8"/>
    <col min="506" max="506" width="45.84375" style="8" customWidth="1"/>
    <col min="507" max="520" width="14.84375" style="8" customWidth="1"/>
    <col min="521" max="761" width="9.23046875" style="8"/>
    <col min="762" max="762" width="45.84375" style="8" customWidth="1"/>
    <col min="763" max="776" width="14.84375" style="8" customWidth="1"/>
    <col min="777" max="1017" width="9.23046875" style="8"/>
    <col min="1018" max="1018" width="45.84375" style="8" customWidth="1"/>
    <col min="1019" max="1032" width="14.84375" style="8" customWidth="1"/>
    <col min="1033" max="1273" width="9.23046875" style="8"/>
    <col min="1274" max="1274" width="45.84375" style="8" customWidth="1"/>
    <col min="1275" max="1288" width="14.84375" style="8" customWidth="1"/>
    <col min="1289" max="1529" width="9.23046875" style="8"/>
    <col min="1530" max="1530" width="45.84375" style="8" customWidth="1"/>
    <col min="1531" max="1544" width="14.84375" style="8" customWidth="1"/>
    <col min="1545" max="1785" width="9.23046875" style="8"/>
    <col min="1786" max="1786" width="45.84375" style="8" customWidth="1"/>
    <col min="1787" max="1800" width="14.84375" style="8" customWidth="1"/>
    <col min="1801" max="2041" width="9.23046875" style="8"/>
    <col min="2042" max="2042" width="45.84375" style="8" customWidth="1"/>
    <col min="2043" max="2056" width="14.84375" style="8" customWidth="1"/>
    <col min="2057" max="2297" width="9.23046875" style="8"/>
    <col min="2298" max="2298" width="45.84375" style="8" customWidth="1"/>
    <col min="2299" max="2312" width="14.84375" style="8" customWidth="1"/>
    <col min="2313" max="2553" width="9.23046875" style="8"/>
    <col min="2554" max="2554" width="45.84375" style="8" customWidth="1"/>
    <col min="2555" max="2568" width="14.84375" style="8" customWidth="1"/>
    <col min="2569" max="2809" width="9.23046875" style="8"/>
    <col min="2810" max="2810" width="45.84375" style="8" customWidth="1"/>
    <col min="2811" max="2824" width="14.84375" style="8" customWidth="1"/>
    <col min="2825" max="3065" width="9.23046875" style="8"/>
    <col min="3066" max="3066" width="45.84375" style="8" customWidth="1"/>
    <col min="3067" max="3080" width="14.84375" style="8" customWidth="1"/>
    <col min="3081" max="3321" width="9.23046875" style="8"/>
    <col min="3322" max="3322" width="45.84375" style="8" customWidth="1"/>
    <col min="3323" max="3336" width="14.84375" style="8" customWidth="1"/>
    <col min="3337" max="3577" width="9.23046875" style="8"/>
    <col min="3578" max="3578" width="45.84375" style="8" customWidth="1"/>
    <col min="3579" max="3592" width="14.84375" style="8" customWidth="1"/>
    <col min="3593" max="3833" width="9.23046875" style="8"/>
    <col min="3834" max="3834" width="45.84375" style="8" customWidth="1"/>
    <col min="3835" max="3848" width="14.84375" style="8" customWidth="1"/>
    <col min="3849" max="4089" width="9.23046875" style="8"/>
    <col min="4090" max="4090" width="45.84375" style="8" customWidth="1"/>
    <col min="4091" max="4104" width="14.84375" style="8" customWidth="1"/>
    <col min="4105" max="4345" width="9.23046875" style="8"/>
    <col min="4346" max="4346" width="45.84375" style="8" customWidth="1"/>
    <col min="4347" max="4360" width="14.84375" style="8" customWidth="1"/>
    <col min="4361" max="4601" width="9.23046875" style="8"/>
    <col min="4602" max="4602" width="45.84375" style="8" customWidth="1"/>
    <col min="4603" max="4616" width="14.84375" style="8" customWidth="1"/>
    <col min="4617" max="4857" width="9.23046875" style="8"/>
    <col min="4858" max="4858" width="45.84375" style="8" customWidth="1"/>
    <col min="4859" max="4872" width="14.84375" style="8" customWidth="1"/>
    <col min="4873" max="5113" width="9.23046875" style="8"/>
    <col min="5114" max="5114" width="45.84375" style="8" customWidth="1"/>
    <col min="5115" max="5128" width="14.84375" style="8" customWidth="1"/>
    <col min="5129" max="5369" width="9.23046875" style="8"/>
    <col min="5370" max="5370" width="45.84375" style="8" customWidth="1"/>
    <col min="5371" max="5384" width="14.84375" style="8" customWidth="1"/>
    <col min="5385" max="5625" width="9.23046875" style="8"/>
    <col min="5626" max="5626" width="45.84375" style="8" customWidth="1"/>
    <col min="5627" max="5640" width="14.84375" style="8" customWidth="1"/>
    <col min="5641" max="5881" width="9.23046875" style="8"/>
    <col min="5882" max="5882" width="45.84375" style="8" customWidth="1"/>
    <col min="5883" max="5896" width="14.84375" style="8" customWidth="1"/>
    <col min="5897" max="6137" width="9.23046875" style="8"/>
    <col min="6138" max="6138" width="45.84375" style="8" customWidth="1"/>
    <col min="6139" max="6152" width="14.84375" style="8" customWidth="1"/>
    <col min="6153" max="6393" width="9.23046875" style="8"/>
    <col min="6394" max="6394" width="45.84375" style="8" customWidth="1"/>
    <col min="6395" max="6408" width="14.84375" style="8" customWidth="1"/>
    <col min="6409" max="6649" width="9.23046875" style="8"/>
    <col min="6650" max="6650" width="45.84375" style="8" customWidth="1"/>
    <col min="6651" max="6664" width="14.84375" style="8" customWidth="1"/>
    <col min="6665" max="6905" width="9.23046875" style="8"/>
    <col min="6906" max="6906" width="45.84375" style="8" customWidth="1"/>
    <col min="6907" max="6920" width="14.84375" style="8" customWidth="1"/>
    <col min="6921" max="7161" width="9.23046875" style="8"/>
    <col min="7162" max="7162" width="45.84375" style="8" customWidth="1"/>
    <col min="7163" max="7176" width="14.84375" style="8" customWidth="1"/>
    <col min="7177" max="7417" width="9.23046875" style="8"/>
    <col min="7418" max="7418" width="45.84375" style="8" customWidth="1"/>
    <col min="7419" max="7432" width="14.84375" style="8" customWidth="1"/>
    <col min="7433" max="7673" width="9.23046875" style="8"/>
    <col min="7674" max="7674" width="45.84375" style="8" customWidth="1"/>
    <col min="7675" max="7688" width="14.84375" style="8" customWidth="1"/>
    <col min="7689" max="7929" width="9.23046875" style="8"/>
    <col min="7930" max="7930" width="45.84375" style="8" customWidth="1"/>
    <col min="7931" max="7944" width="14.84375" style="8" customWidth="1"/>
    <col min="7945" max="8185" width="9.23046875" style="8"/>
    <col min="8186" max="8186" width="45.84375" style="8" customWidth="1"/>
    <col min="8187" max="8200" width="14.84375" style="8" customWidth="1"/>
    <col min="8201" max="8441" width="9.23046875" style="8"/>
    <col min="8442" max="8442" width="45.84375" style="8" customWidth="1"/>
    <col min="8443" max="8456" width="14.84375" style="8" customWidth="1"/>
    <col min="8457" max="8697" width="9.23046875" style="8"/>
    <col min="8698" max="8698" width="45.84375" style="8" customWidth="1"/>
    <col min="8699" max="8712" width="14.84375" style="8" customWidth="1"/>
    <col min="8713" max="8953" width="9.23046875" style="8"/>
    <col min="8954" max="8954" width="45.84375" style="8" customWidth="1"/>
    <col min="8955" max="8968" width="14.84375" style="8" customWidth="1"/>
    <col min="8969" max="9209" width="9.23046875" style="8"/>
    <col min="9210" max="9210" width="45.84375" style="8" customWidth="1"/>
    <col min="9211" max="9224" width="14.84375" style="8" customWidth="1"/>
    <col min="9225" max="9465" width="9.23046875" style="8"/>
    <col min="9466" max="9466" width="45.84375" style="8" customWidth="1"/>
    <col min="9467" max="9480" width="14.84375" style="8" customWidth="1"/>
    <col min="9481" max="9721" width="9.23046875" style="8"/>
    <col min="9722" max="9722" width="45.84375" style="8" customWidth="1"/>
    <col min="9723" max="9736" width="14.84375" style="8" customWidth="1"/>
    <col min="9737" max="9977" width="9.23046875" style="8"/>
    <col min="9978" max="9978" width="45.84375" style="8" customWidth="1"/>
    <col min="9979" max="9992" width="14.84375" style="8" customWidth="1"/>
    <col min="9993" max="10233" width="9.23046875" style="8"/>
    <col min="10234" max="10234" width="45.84375" style="8" customWidth="1"/>
    <col min="10235" max="10248" width="14.84375" style="8" customWidth="1"/>
    <col min="10249" max="10489" width="9.23046875" style="8"/>
    <col min="10490" max="10490" width="45.84375" style="8" customWidth="1"/>
    <col min="10491" max="10504" width="14.84375" style="8" customWidth="1"/>
    <col min="10505" max="10745" width="9.23046875" style="8"/>
    <col min="10746" max="10746" width="45.84375" style="8" customWidth="1"/>
    <col min="10747" max="10760" width="14.84375" style="8" customWidth="1"/>
    <col min="10761" max="11001" width="9.23046875" style="8"/>
    <col min="11002" max="11002" width="45.84375" style="8" customWidth="1"/>
    <col min="11003" max="11016" width="14.84375" style="8" customWidth="1"/>
    <col min="11017" max="11257" width="9.23046875" style="8"/>
    <col min="11258" max="11258" width="45.84375" style="8" customWidth="1"/>
    <col min="11259" max="11272" width="14.84375" style="8" customWidth="1"/>
    <col min="11273" max="11513" width="9.23046875" style="8"/>
    <col min="11514" max="11514" width="45.84375" style="8" customWidth="1"/>
    <col min="11515" max="11528" width="14.84375" style="8" customWidth="1"/>
    <col min="11529" max="11769" width="9.23046875" style="8"/>
    <col min="11770" max="11770" width="45.84375" style="8" customWidth="1"/>
    <col min="11771" max="11784" width="14.84375" style="8" customWidth="1"/>
    <col min="11785" max="12025" width="9.23046875" style="8"/>
    <col min="12026" max="12026" width="45.84375" style="8" customWidth="1"/>
    <col min="12027" max="12040" width="14.84375" style="8" customWidth="1"/>
    <col min="12041" max="12281" width="9.23046875" style="8"/>
    <col min="12282" max="12282" width="45.84375" style="8" customWidth="1"/>
    <col min="12283" max="12296" width="14.84375" style="8" customWidth="1"/>
    <col min="12297" max="12537" width="9.23046875" style="8"/>
    <col min="12538" max="12538" width="45.84375" style="8" customWidth="1"/>
    <col min="12539" max="12552" width="14.84375" style="8" customWidth="1"/>
    <col min="12553" max="12793" width="9.23046875" style="8"/>
    <col min="12794" max="12794" width="45.84375" style="8" customWidth="1"/>
    <col min="12795" max="12808" width="14.84375" style="8" customWidth="1"/>
    <col min="12809" max="13049" width="9.23046875" style="8"/>
    <col min="13050" max="13050" width="45.84375" style="8" customWidth="1"/>
    <col min="13051" max="13064" width="14.84375" style="8" customWidth="1"/>
    <col min="13065" max="13305" width="9.23046875" style="8"/>
    <col min="13306" max="13306" width="45.84375" style="8" customWidth="1"/>
    <col min="13307" max="13320" width="14.84375" style="8" customWidth="1"/>
    <col min="13321" max="13561" width="9.23046875" style="8"/>
    <col min="13562" max="13562" width="45.84375" style="8" customWidth="1"/>
    <col min="13563" max="13576" width="14.84375" style="8" customWidth="1"/>
    <col min="13577" max="13817" width="9.23046875" style="8"/>
    <col min="13818" max="13818" width="45.84375" style="8" customWidth="1"/>
    <col min="13819" max="13832" width="14.84375" style="8" customWidth="1"/>
    <col min="13833" max="14073" width="9.23046875" style="8"/>
    <col min="14074" max="14074" width="45.84375" style="8" customWidth="1"/>
    <col min="14075" max="14088" width="14.84375" style="8" customWidth="1"/>
    <col min="14089" max="14329" width="9.23046875" style="8"/>
    <col min="14330" max="14330" width="45.84375" style="8" customWidth="1"/>
    <col min="14331" max="14344" width="14.84375" style="8" customWidth="1"/>
    <col min="14345" max="14585" width="9.23046875" style="8"/>
    <col min="14586" max="14586" width="45.84375" style="8" customWidth="1"/>
    <col min="14587" max="14600" width="14.84375" style="8" customWidth="1"/>
    <col min="14601" max="14841" width="9.23046875" style="8"/>
    <col min="14842" max="14842" width="45.84375" style="8" customWidth="1"/>
    <col min="14843" max="14856" width="14.84375" style="8" customWidth="1"/>
    <col min="14857" max="15097" width="9.23046875" style="8"/>
    <col min="15098" max="15098" width="45.84375" style="8" customWidth="1"/>
    <col min="15099" max="15112" width="14.84375" style="8" customWidth="1"/>
    <col min="15113" max="15353" width="9.23046875" style="8"/>
    <col min="15354" max="15354" width="45.84375" style="8" customWidth="1"/>
    <col min="15355" max="15368" width="14.84375" style="8" customWidth="1"/>
    <col min="15369" max="15609" width="9.23046875" style="8"/>
    <col min="15610" max="15610" width="45.84375" style="8" customWidth="1"/>
    <col min="15611" max="15624" width="14.84375" style="8" customWidth="1"/>
    <col min="15625" max="15865" width="9.23046875" style="8"/>
    <col min="15866" max="15866" width="45.84375" style="8" customWidth="1"/>
    <col min="15867" max="15880" width="14.84375" style="8" customWidth="1"/>
    <col min="15881" max="16121" width="9.23046875" style="8"/>
    <col min="16122" max="16122" width="45.84375" style="8" customWidth="1"/>
    <col min="16123" max="16136" width="14.84375" style="8" customWidth="1"/>
    <col min="16137" max="16384" width="9.23046875" style="8"/>
  </cols>
  <sheetData>
    <row r="1" spans="1:248" s="1" customFormat="1" ht="58.85" customHeight="1">
      <c r="B1" s="2"/>
      <c r="C1" s="7" t="s">
        <v>25</v>
      </c>
      <c r="D1" s="2"/>
      <c r="E1" s="2"/>
      <c r="F1" s="2"/>
      <c r="G1" s="2"/>
      <c r="H1" s="2"/>
    </row>
    <row r="2" spans="1:248" s="1" customFormat="1" ht="17.600000000000001" customHeight="1"/>
    <row r="3" spans="1:248" s="11" customFormat="1" ht="24.9">
      <c r="A3" s="326"/>
      <c r="B3" s="716" t="s">
        <v>7</v>
      </c>
      <c r="C3" s="716"/>
      <c r="D3" s="716"/>
      <c r="E3" s="716"/>
      <c r="F3" s="716"/>
      <c r="G3" s="716"/>
      <c r="H3" s="716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</row>
    <row r="4" spans="1:248" s="11" customFormat="1" ht="24.9">
      <c r="A4" s="326"/>
      <c r="B4" s="327"/>
      <c r="C4" s="327"/>
      <c r="D4" s="327"/>
      <c r="E4" s="327"/>
      <c r="F4" s="327"/>
      <c r="G4" s="327"/>
      <c r="H4" s="328" t="s">
        <v>91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</row>
    <row r="5" spans="1:248">
      <c r="A5" s="47"/>
      <c r="B5" s="329" t="s">
        <v>466</v>
      </c>
      <c r="C5" s="330">
        <v>44227</v>
      </c>
      <c r="D5" s="330">
        <v>44591</v>
      </c>
      <c r="E5" s="330">
        <v>44955</v>
      </c>
      <c r="F5" s="330">
        <v>45319</v>
      </c>
      <c r="G5" s="330">
        <v>45683</v>
      </c>
      <c r="H5" s="330">
        <v>45684</v>
      </c>
    </row>
    <row r="6" spans="1:248">
      <c r="A6" s="47"/>
      <c r="B6" s="331" t="s">
        <v>255</v>
      </c>
      <c r="C6" s="332" t="s">
        <v>256</v>
      </c>
      <c r="D6" s="332" t="s">
        <v>256</v>
      </c>
      <c r="E6" s="332" t="s">
        <v>256</v>
      </c>
      <c r="F6" s="332" t="s">
        <v>256</v>
      </c>
      <c r="G6" s="332" t="s">
        <v>256</v>
      </c>
      <c r="H6" s="332"/>
    </row>
    <row r="7" spans="1:248">
      <c r="A7" s="47"/>
      <c r="B7" s="333" t="s">
        <v>130</v>
      </c>
      <c r="C7" s="334" t="s">
        <v>131</v>
      </c>
      <c r="D7" s="334" t="s">
        <v>131</v>
      </c>
      <c r="E7" s="334" t="s">
        <v>131</v>
      </c>
      <c r="F7" s="334" t="s">
        <v>131</v>
      </c>
      <c r="G7" s="334" t="s">
        <v>131</v>
      </c>
      <c r="H7" s="334" t="s">
        <v>131</v>
      </c>
    </row>
    <row r="8" spans="1:248">
      <c r="A8" s="47"/>
      <c r="B8" s="335" t="s">
        <v>132</v>
      </c>
      <c r="C8" s="325"/>
      <c r="D8" s="325"/>
      <c r="E8" s="325"/>
      <c r="F8" s="325"/>
      <c r="G8" s="325"/>
      <c r="H8" s="325"/>
    </row>
    <row r="9" spans="1:248">
      <c r="A9" s="47"/>
      <c r="B9" s="325" t="s">
        <v>133</v>
      </c>
      <c r="C9" s="336">
        <v>16675</v>
      </c>
      <c r="D9" s="336">
        <v>26914</v>
      </c>
      <c r="E9" s="336">
        <v>26974</v>
      </c>
      <c r="F9" s="336">
        <v>60922</v>
      </c>
      <c r="G9" s="336">
        <v>130497</v>
      </c>
      <c r="H9" s="336">
        <v>165218</v>
      </c>
    </row>
    <row r="10" spans="1:248">
      <c r="A10" s="47"/>
      <c r="B10" s="325" t="s">
        <v>134</v>
      </c>
      <c r="C10" s="336" t="s">
        <v>15</v>
      </c>
      <c r="D10" s="336" t="s">
        <v>15</v>
      </c>
      <c r="E10" s="336" t="s">
        <v>15</v>
      </c>
      <c r="F10" s="336" t="s">
        <v>15</v>
      </c>
      <c r="G10" s="336" t="s">
        <v>15</v>
      </c>
      <c r="H10" s="336" t="s">
        <v>15</v>
      </c>
    </row>
    <row r="11" spans="1:248">
      <c r="A11" s="47"/>
      <c r="B11" s="335" t="s">
        <v>135</v>
      </c>
      <c r="C11" s="337">
        <v>16675</v>
      </c>
      <c r="D11" s="337">
        <v>26914</v>
      </c>
      <c r="E11" s="337">
        <v>26974</v>
      </c>
      <c r="F11" s="337">
        <v>60922</v>
      </c>
      <c r="G11" s="337">
        <v>130497</v>
      </c>
      <c r="H11" s="337">
        <v>165218</v>
      </c>
    </row>
    <row r="12" spans="1:248">
      <c r="A12" s="47"/>
      <c r="B12" s="325"/>
      <c r="C12" s="325"/>
      <c r="D12" s="325"/>
      <c r="E12" s="325"/>
      <c r="F12" s="325"/>
      <c r="G12" s="325"/>
      <c r="H12" s="325"/>
    </row>
    <row r="13" spans="1:248">
      <c r="A13" s="47"/>
      <c r="B13" s="325" t="s">
        <v>3</v>
      </c>
      <c r="C13" s="336">
        <v>6118</v>
      </c>
      <c r="D13" s="336">
        <v>9439</v>
      </c>
      <c r="E13" s="336">
        <v>11618</v>
      </c>
      <c r="F13" s="336">
        <v>16621</v>
      </c>
      <c r="G13" s="336">
        <v>32639</v>
      </c>
      <c r="H13" s="336">
        <v>49818</v>
      </c>
    </row>
    <row r="14" spans="1:248">
      <c r="A14" s="47"/>
      <c r="B14" s="335" t="s">
        <v>136</v>
      </c>
      <c r="C14" s="337">
        <v>10557</v>
      </c>
      <c r="D14" s="337">
        <v>17475</v>
      </c>
      <c r="E14" s="337">
        <v>15356</v>
      </c>
      <c r="F14" s="337">
        <v>44301</v>
      </c>
      <c r="G14" s="337">
        <v>97858</v>
      </c>
      <c r="H14" s="337">
        <v>115400</v>
      </c>
    </row>
    <row r="15" spans="1:248">
      <c r="A15" s="47"/>
      <c r="B15" s="325"/>
      <c r="C15" s="325"/>
      <c r="D15" s="325"/>
      <c r="E15" s="325"/>
      <c r="F15" s="325"/>
      <c r="G15" s="325"/>
      <c r="H15" s="325"/>
    </row>
    <row r="16" spans="1:248">
      <c r="A16" s="47"/>
      <c r="B16" s="325" t="s">
        <v>18</v>
      </c>
      <c r="C16" s="336">
        <v>1912</v>
      </c>
      <c r="D16" s="336">
        <v>2166</v>
      </c>
      <c r="E16" s="336">
        <v>2440</v>
      </c>
      <c r="F16" s="336">
        <v>2654</v>
      </c>
      <c r="G16" s="336">
        <v>3491</v>
      </c>
      <c r="H16" s="336">
        <v>4036</v>
      </c>
    </row>
    <row r="17" spans="1:8">
      <c r="A17" s="47"/>
      <c r="B17" s="325" t="s">
        <v>19</v>
      </c>
      <c r="C17" s="336">
        <v>3924</v>
      </c>
      <c r="D17" s="336">
        <v>5268</v>
      </c>
      <c r="E17" s="336">
        <v>7339</v>
      </c>
      <c r="F17" s="336">
        <v>8675</v>
      </c>
      <c r="G17" s="336">
        <v>12914</v>
      </c>
      <c r="H17" s="336">
        <v>15384</v>
      </c>
    </row>
    <row r="18" spans="1:8">
      <c r="A18" s="47"/>
      <c r="B18" s="325" t="s">
        <v>20</v>
      </c>
      <c r="C18" s="336" t="s">
        <v>15</v>
      </c>
      <c r="D18" s="336" t="s">
        <v>15</v>
      </c>
      <c r="E18" s="336" t="s">
        <v>15</v>
      </c>
      <c r="F18" s="336" t="s">
        <v>15</v>
      </c>
      <c r="G18" s="336" t="s">
        <v>15</v>
      </c>
      <c r="H18" s="336" t="s">
        <v>15</v>
      </c>
    </row>
    <row r="19" spans="1:8">
      <c r="A19" s="47"/>
      <c r="B19" s="325" t="s">
        <v>137</v>
      </c>
      <c r="C19" s="336" t="s">
        <v>15</v>
      </c>
      <c r="D19" s="336" t="s">
        <v>15</v>
      </c>
      <c r="E19" s="336" t="s">
        <v>15</v>
      </c>
      <c r="F19" s="336" t="s">
        <v>15</v>
      </c>
      <c r="G19" s="336" t="s">
        <v>15</v>
      </c>
      <c r="H19" s="336" t="s">
        <v>15</v>
      </c>
    </row>
    <row r="20" spans="1:8">
      <c r="A20" s="47"/>
      <c r="B20" s="325"/>
      <c r="C20" s="325"/>
      <c r="D20" s="325"/>
      <c r="E20" s="325"/>
      <c r="F20" s="325"/>
      <c r="G20" s="325"/>
      <c r="H20" s="325"/>
    </row>
    <row r="21" spans="1:8">
      <c r="A21" s="47"/>
      <c r="B21" s="335" t="s">
        <v>138</v>
      </c>
      <c r="C21" s="337">
        <v>5836</v>
      </c>
      <c r="D21" s="337">
        <v>7434</v>
      </c>
      <c r="E21" s="337">
        <v>9779</v>
      </c>
      <c r="F21" s="337">
        <v>11329</v>
      </c>
      <c r="G21" s="337">
        <v>16405</v>
      </c>
      <c r="H21" s="337">
        <v>19420</v>
      </c>
    </row>
    <row r="22" spans="1:8">
      <c r="A22" s="47"/>
      <c r="B22" s="325"/>
      <c r="C22" s="325"/>
      <c r="D22" s="325"/>
      <c r="E22" s="325"/>
      <c r="F22" s="325"/>
      <c r="G22" s="325"/>
      <c r="H22" s="325"/>
    </row>
    <row r="23" spans="1:8">
      <c r="A23" s="47"/>
      <c r="B23" s="335" t="s">
        <v>139</v>
      </c>
      <c r="C23" s="338">
        <v>4721</v>
      </c>
      <c r="D23" s="338">
        <v>10041</v>
      </c>
      <c r="E23" s="338">
        <v>5577</v>
      </c>
      <c r="F23" s="338">
        <v>32972</v>
      </c>
      <c r="G23" s="338">
        <v>81453</v>
      </c>
      <c r="H23" s="338">
        <v>95980</v>
      </c>
    </row>
    <row r="24" spans="1:8">
      <c r="A24" s="47"/>
      <c r="B24" s="325"/>
      <c r="C24" s="325"/>
      <c r="D24" s="325"/>
      <c r="E24" s="325"/>
      <c r="F24" s="325"/>
      <c r="G24" s="325"/>
      <c r="H24" s="325"/>
    </row>
    <row r="25" spans="1:8">
      <c r="A25" s="47"/>
      <c r="B25" s="325" t="s">
        <v>21</v>
      </c>
      <c r="C25" s="336">
        <v>-184</v>
      </c>
      <c r="D25" s="336">
        <v>-236</v>
      </c>
      <c r="E25" s="336">
        <v>-262</v>
      </c>
      <c r="F25" s="336">
        <v>-257</v>
      </c>
      <c r="G25" s="336">
        <v>-247</v>
      </c>
      <c r="H25" s="336">
        <v>-246</v>
      </c>
    </row>
    <row r="26" spans="1:8">
      <c r="A26" s="47"/>
      <c r="B26" s="325" t="s">
        <v>22</v>
      </c>
      <c r="C26" s="336">
        <v>57</v>
      </c>
      <c r="D26" s="336">
        <v>29</v>
      </c>
      <c r="E26" s="336">
        <v>267</v>
      </c>
      <c r="F26" s="336">
        <v>866</v>
      </c>
      <c r="G26" s="336">
        <v>1786</v>
      </c>
      <c r="H26" s="336">
        <v>2091</v>
      </c>
    </row>
    <row r="27" spans="1:8">
      <c r="A27" s="47"/>
      <c r="B27" s="335" t="s">
        <v>140</v>
      </c>
      <c r="C27" s="337">
        <v>-127</v>
      </c>
      <c r="D27" s="337">
        <v>-207</v>
      </c>
      <c r="E27" s="337">
        <v>5</v>
      </c>
      <c r="F27" s="337">
        <v>609</v>
      </c>
      <c r="G27" s="337">
        <v>1539</v>
      </c>
      <c r="H27" s="337">
        <v>1845</v>
      </c>
    </row>
    <row r="28" spans="1:8">
      <c r="A28" s="47"/>
      <c r="B28" s="325"/>
      <c r="C28" s="325"/>
      <c r="D28" s="325"/>
      <c r="E28" s="325"/>
      <c r="F28" s="325"/>
      <c r="G28" s="325"/>
      <c r="H28" s="325"/>
    </row>
    <row r="29" spans="1:8">
      <c r="A29" s="47"/>
      <c r="B29" s="325" t="s">
        <v>141</v>
      </c>
      <c r="C29" s="336" t="s">
        <v>15</v>
      </c>
      <c r="D29" s="336" t="s">
        <v>15</v>
      </c>
      <c r="E29" s="336" t="s">
        <v>15</v>
      </c>
      <c r="F29" s="336" t="s">
        <v>15</v>
      </c>
      <c r="G29" s="336" t="s">
        <v>15</v>
      </c>
      <c r="H29" s="336" t="s">
        <v>15</v>
      </c>
    </row>
    <row r="30" spans="1:8">
      <c r="A30" s="47"/>
      <c r="B30" s="325" t="s">
        <v>23</v>
      </c>
      <c r="C30" s="336">
        <v>4</v>
      </c>
      <c r="D30" s="336">
        <v>7</v>
      </c>
      <c r="E30" s="336">
        <v>-3</v>
      </c>
      <c r="F30" s="336">
        <v>-1</v>
      </c>
      <c r="G30" s="336">
        <v>4</v>
      </c>
      <c r="H30" s="336">
        <v>-14</v>
      </c>
    </row>
    <row r="31" spans="1:8">
      <c r="A31" s="47"/>
      <c r="B31" s="335" t="s">
        <v>142</v>
      </c>
      <c r="C31" s="337">
        <v>4598</v>
      </c>
      <c r="D31" s="337">
        <v>9841</v>
      </c>
      <c r="E31" s="337">
        <v>5579</v>
      </c>
      <c r="F31" s="337">
        <v>33580</v>
      </c>
      <c r="G31" s="337">
        <v>82996</v>
      </c>
      <c r="H31" s="337">
        <v>97811</v>
      </c>
    </row>
    <row r="32" spans="1:8">
      <c r="A32" s="47"/>
      <c r="B32" s="325"/>
      <c r="C32" s="325"/>
      <c r="D32" s="325"/>
      <c r="E32" s="325"/>
      <c r="F32" s="325"/>
      <c r="G32" s="325"/>
      <c r="H32" s="325"/>
    </row>
    <row r="33" spans="1:8">
      <c r="A33" s="47"/>
      <c r="B33" s="325" t="s">
        <v>143</v>
      </c>
      <c r="C33" s="336" t="s">
        <v>15</v>
      </c>
      <c r="D33" s="336" t="s">
        <v>15</v>
      </c>
      <c r="E33" s="336" t="s">
        <v>15</v>
      </c>
      <c r="F33" s="336" t="s">
        <v>15</v>
      </c>
      <c r="G33" s="336" t="s">
        <v>15</v>
      </c>
      <c r="H33" s="336" t="s">
        <v>15</v>
      </c>
    </row>
    <row r="34" spans="1:8">
      <c r="A34" s="47"/>
      <c r="B34" s="325" t="s">
        <v>144</v>
      </c>
      <c r="C34" s="336">
        <v>-189</v>
      </c>
      <c r="D34" s="336" t="s">
        <v>15</v>
      </c>
      <c r="E34" s="336">
        <v>-1353</v>
      </c>
      <c r="F34" s="336" t="s">
        <v>15</v>
      </c>
      <c r="G34" s="336" t="s">
        <v>15</v>
      </c>
      <c r="H34" s="336" t="s">
        <v>15</v>
      </c>
    </row>
    <row r="35" spans="1:8">
      <c r="A35" s="47"/>
      <c r="B35" s="325" t="s">
        <v>145</v>
      </c>
      <c r="C35" s="336" t="s">
        <v>15</v>
      </c>
      <c r="D35" s="336" t="s">
        <v>15</v>
      </c>
      <c r="E35" s="336" t="s">
        <v>15</v>
      </c>
      <c r="F35" s="336" t="s">
        <v>15</v>
      </c>
      <c r="G35" s="336" t="s">
        <v>15</v>
      </c>
      <c r="H35" s="336" t="s">
        <v>15</v>
      </c>
    </row>
    <row r="36" spans="1:8">
      <c r="A36" s="47"/>
      <c r="B36" s="325" t="s">
        <v>146</v>
      </c>
      <c r="C36" s="336" t="s">
        <v>15</v>
      </c>
      <c r="D36" s="336">
        <v>100</v>
      </c>
      <c r="E36" s="336">
        <v>-45</v>
      </c>
      <c r="F36" s="336">
        <v>238</v>
      </c>
      <c r="G36" s="336">
        <v>1030</v>
      </c>
      <c r="H36" s="336">
        <v>2839</v>
      </c>
    </row>
    <row r="37" spans="1:8">
      <c r="A37" s="47"/>
      <c r="B37" s="325" t="s">
        <v>147</v>
      </c>
      <c r="C37" s="336" t="s">
        <v>15</v>
      </c>
      <c r="D37" s="336" t="s">
        <v>15</v>
      </c>
      <c r="E37" s="336" t="s">
        <v>15</v>
      </c>
      <c r="F37" s="336" t="s">
        <v>15</v>
      </c>
      <c r="G37" s="336" t="s">
        <v>15</v>
      </c>
      <c r="H37" s="336" t="s">
        <v>15</v>
      </c>
    </row>
    <row r="38" spans="1:8">
      <c r="A38" s="47"/>
      <c r="B38" s="335" t="s">
        <v>148</v>
      </c>
      <c r="C38" s="337">
        <v>4409</v>
      </c>
      <c r="D38" s="337">
        <v>9941</v>
      </c>
      <c r="E38" s="337">
        <v>4181</v>
      </c>
      <c r="F38" s="337">
        <v>33818</v>
      </c>
      <c r="G38" s="337">
        <v>84026</v>
      </c>
      <c r="H38" s="337">
        <v>100650</v>
      </c>
    </row>
    <row r="39" spans="1:8">
      <c r="A39" s="47"/>
      <c r="B39" s="325"/>
      <c r="C39" s="325"/>
      <c r="D39" s="325"/>
      <c r="E39" s="325"/>
      <c r="F39" s="325"/>
      <c r="G39" s="325"/>
      <c r="H39" s="325"/>
    </row>
    <row r="40" spans="1:8">
      <c r="A40" s="47"/>
      <c r="B40" s="325" t="s">
        <v>24</v>
      </c>
      <c r="C40" s="336">
        <v>77</v>
      </c>
      <c r="D40" s="336">
        <v>189</v>
      </c>
      <c r="E40" s="336">
        <v>-187</v>
      </c>
      <c r="F40" s="336">
        <v>4058</v>
      </c>
      <c r="G40" s="336">
        <v>11146</v>
      </c>
      <c r="H40" s="336">
        <v>14053</v>
      </c>
    </row>
    <row r="41" spans="1:8">
      <c r="A41" s="47"/>
      <c r="B41" s="335" t="s">
        <v>149</v>
      </c>
      <c r="C41" s="337">
        <v>4332</v>
      </c>
      <c r="D41" s="337">
        <v>9752</v>
      </c>
      <c r="E41" s="337">
        <v>4368</v>
      </c>
      <c r="F41" s="337">
        <v>29760</v>
      </c>
      <c r="G41" s="337">
        <v>72880</v>
      </c>
      <c r="H41" s="337">
        <v>86597</v>
      </c>
    </row>
    <row r="42" spans="1:8">
      <c r="A42" s="47"/>
      <c r="B42" s="325"/>
      <c r="C42" s="325"/>
      <c r="D42" s="325"/>
      <c r="E42" s="325"/>
      <c r="F42" s="325"/>
      <c r="G42" s="325"/>
      <c r="H42" s="325"/>
    </row>
    <row r="43" spans="1:8">
      <c r="A43" s="47"/>
      <c r="B43" s="325" t="s">
        <v>150</v>
      </c>
      <c r="C43" s="336" t="s">
        <v>15</v>
      </c>
      <c r="D43" s="336" t="s">
        <v>15</v>
      </c>
      <c r="E43" s="336" t="s">
        <v>15</v>
      </c>
      <c r="F43" s="336" t="s">
        <v>15</v>
      </c>
      <c r="G43" s="336" t="s">
        <v>15</v>
      </c>
      <c r="H43" s="336" t="s">
        <v>15</v>
      </c>
    </row>
    <row r="44" spans="1:8">
      <c r="A44" s="47"/>
      <c r="B44" s="325" t="s">
        <v>151</v>
      </c>
      <c r="C44" s="336" t="s">
        <v>15</v>
      </c>
      <c r="D44" s="336" t="s">
        <v>15</v>
      </c>
      <c r="E44" s="336" t="s">
        <v>15</v>
      </c>
      <c r="F44" s="336" t="s">
        <v>15</v>
      </c>
      <c r="G44" s="336" t="s">
        <v>15</v>
      </c>
      <c r="H44" s="336" t="s">
        <v>15</v>
      </c>
    </row>
    <row r="45" spans="1:8">
      <c r="A45" s="47"/>
      <c r="B45" s="335" t="s">
        <v>152</v>
      </c>
      <c r="C45" s="337">
        <v>4332</v>
      </c>
      <c r="D45" s="337">
        <v>9752</v>
      </c>
      <c r="E45" s="337">
        <v>4368</v>
      </c>
      <c r="F45" s="337">
        <v>29760</v>
      </c>
      <c r="G45" s="337">
        <v>72880</v>
      </c>
      <c r="H45" s="337">
        <v>86597</v>
      </c>
    </row>
    <row r="46" spans="1:8">
      <c r="A46" s="47"/>
      <c r="B46" s="325"/>
      <c r="C46" s="325"/>
      <c r="D46" s="325"/>
      <c r="E46" s="325"/>
      <c r="F46" s="325"/>
      <c r="G46" s="325"/>
      <c r="H46" s="325"/>
    </row>
    <row r="47" spans="1:8">
      <c r="A47" s="47"/>
      <c r="B47" s="325" t="s">
        <v>153</v>
      </c>
      <c r="C47" s="336" t="s">
        <v>15</v>
      </c>
      <c r="D47" s="336" t="s">
        <v>15</v>
      </c>
      <c r="E47" s="336" t="s">
        <v>15</v>
      </c>
      <c r="F47" s="336" t="s">
        <v>15</v>
      </c>
      <c r="G47" s="336" t="s">
        <v>15</v>
      </c>
      <c r="H47" s="336" t="s">
        <v>15</v>
      </c>
    </row>
    <row r="48" spans="1:8">
      <c r="A48" s="47"/>
      <c r="B48" s="335" t="s">
        <v>154</v>
      </c>
      <c r="C48" s="339">
        <v>4332</v>
      </c>
      <c r="D48" s="339">
        <v>9752</v>
      </c>
      <c r="E48" s="339">
        <v>4368</v>
      </c>
      <c r="F48" s="339">
        <v>29760</v>
      </c>
      <c r="G48" s="339">
        <v>72880</v>
      </c>
      <c r="H48" s="339">
        <v>86597</v>
      </c>
    </row>
    <row r="49" spans="1:8">
      <c r="A49" s="47"/>
      <c r="B49" s="325"/>
      <c r="C49" s="325"/>
      <c r="D49" s="325"/>
      <c r="E49" s="325"/>
      <c r="F49" s="325"/>
      <c r="G49" s="325"/>
      <c r="H49" s="325"/>
    </row>
    <row r="50" spans="1:8">
      <c r="A50" s="47"/>
      <c r="B50" s="325" t="s">
        <v>155</v>
      </c>
      <c r="C50" s="336" t="s">
        <v>15</v>
      </c>
      <c r="D50" s="336" t="s">
        <v>15</v>
      </c>
      <c r="E50" s="336" t="s">
        <v>15</v>
      </c>
      <c r="F50" s="336" t="s">
        <v>15</v>
      </c>
      <c r="G50" s="336" t="s">
        <v>15</v>
      </c>
      <c r="H50" s="336" t="s">
        <v>15</v>
      </c>
    </row>
    <row r="51" spans="1:8">
      <c r="A51" s="47"/>
      <c r="B51" s="325"/>
      <c r="C51" s="325"/>
      <c r="D51" s="325"/>
      <c r="E51" s="325"/>
      <c r="F51" s="325"/>
      <c r="G51" s="325"/>
      <c r="H51" s="325"/>
    </row>
    <row r="52" spans="1:8">
      <c r="A52" s="47"/>
      <c r="B52" s="335" t="s">
        <v>156</v>
      </c>
      <c r="C52" s="338">
        <v>4332</v>
      </c>
      <c r="D52" s="338">
        <v>9752</v>
      </c>
      <c r="E52" s="338">
        <v>4368</v>
      </c>
      <c r="F52" s="338">
        <v>29760</v>
      </c>
      <c r="G52" s="338">
        <v>72880</v>
      </c>
      <c r="H52" s="338">
        <v>86597</v>
      </c>
    </row>
    <row r="53" spans="1:8">
      <c r="A53" s="47"/>
      <c r="B53" s="335" t="s">
        <v>157</v>
      </c>
      <c r="C53" s="338">
        <v>4332</v>
      </c>
      <c r="D53" s="338">
        <v>9752</v>
      </c>
      <c r="E53" s="338">
        <v>4368</v>
      </c>
      <c r="F53" s="338">
        <v>29760</v>
      </c>
      <c r="G53" s="338">
        <v>72880</v>
      </c>
      <c r="H53" s="338">
        <v>86597</v>
      </c>
    </row>
    <row r="54" spans="1:8">
      <c r="A54" s="47"/>
      <c r="B54" s="325"/>
      <c r="C54" s="325"/>
      <c r="D54" s="325"/>
      <c r="E54" s="325"/>
      <c r="F54" s="325"/>
      <c r="G54" s="325"/>
      <c r="H54" s="325"/>
    </row>
    <row r="55" spans="1:8">
      <c r="A55" s="47"/>
      <c r="B55" s="335" t="s">
        <v>158</v>
      </c>
      <c r="C55" s="325"/>
      <c r="D55" s="325"/>
      <c r="E55" s="325"/>
      <c r="F55" s="325"/>
      <c r="G55" s="325"/>
      <c r="H55" s="325"/>
    </row>
    <row r="56" spans="1:8">
      <c r="A56" s="47"/>
      <c r="B56" s="325" t="s">
        <v>0</v>
      </c>
      <c r="C56" s="340">
        <v>0.18</v>
      </c>
      <c r="D56" s="340">
        <v>0.39</v>
      </c>
      <c r="E56" s="340">
        <v>0.18</v>
      </c>
      <c r="F56" s="340">
        <v>1.21</v>
      </c>
      <c r="G56" s="340">
        <v>2.97</v>
      </c>
      <c r="H56" s="340">
        <v>3.54</v>
      </c>
    </row>
    <row r="57" spans="1:8">
      <c r="A57" s="47"/>
      <c r="B57" s="325" t="s">
        <v>160</v>
      </c>
      <c r="C57" s="341">
        <v>0.175597</v>
      </c>
      <c r="D57" s="341">
        <v>0.39070500000000002</v>
      </c>
      <c r="E57" s="341">
        <v>0.17563300000000001</v>
      </c>
      <c r="F57" s="341">
        <v>1.205346</v>
      </c>
      <c r="G57" s="341">
        <v>2.9680300000000002</v>
      </c>
      <c r="H57" s="341">
        <v>3.5407130000000002</v>
      </c>
    </row>
    <row r="58" spans="1:8">
      <c r="A58" s="47"/>
      <c r="B58" s="325" t="s">
        <v>161</v>
      </c>
      <c r="C58" s="336">
        <v>24670</v>
      </c>
      <c r="D58" s="336">
        <v>24960</v>
      </c>
      <c r="E58" s="336">
        <v>24870</v>
      </c>
      <c r="F58" s="336">
        <v>24690</v>
      </c>
      <c r="G58" s="336">
        <v>24555</v>
      </c>
      <c r="H58" s="336">
        <v>24457.5</v>
      </c>
    </row>
    <row r="59" spans="1:8">
      <c r="A59" s="47"/>
      <c r="B59" s="325"/>
      <c r="C59" s="325"/>
      <c r="D59" s="325"/>
      <c r="E59" s="325"/>
      <c r="F59" s="325"/>
      <c r="G59" s="325"/>
      <c r="H59" s="325"/>
    </row>
    <row r="60" spans="1:8">
      <c r="A60" s="47"/>
      <c r="B60" s="325" t="s">
        <v>162</v>
      </c>
      <c r="C60" s="340">
        <v>0.17</v>
      </c>
      <c r="D60" s="340">
        <v>0.39</v>
      </c>
      <c r="E60" s="340">
        <v>0.17</v>
      </c>
      <c r="F60" s="340">
        <v>1.19</v>
      </c>
      <c r="G60" s="340">
        <v>2.94</v>
      </c>
      <c r="H60" s="340">
        <v>3.51</v>
      </c>
    </row>
    <row r="61" spans="1:8">
      <c r="A61" s="47"/>
      <c r="B61" s="325" t="s">
        <v>163</v>
      </c>
      <c r="C61" s="341">
        <v>0.17299999999999999</v>
      </c>
      <c r="D61" s="341">
        <v>0.38500000000000001</v>
      </c>
      <c r="E61" s="341">
        <v>0.17</v>
      </c>
      <c r="F61" s="341">
        <v>1.19</v>
      </c>
      <c r="G61" s="341">
        <v>2.94</v>
      </c>
      <c r="H61" s="341">
        <v>3.510475</v>
      </c>
    </row>
    <row r="62" spans="1:8">
      <c r="A62" s="47"/>
      <c r="B62" s="325" t="s">
        <v>164</v>
      </c>
      <c r="C62" s="336">
        <v>25100</v>
      </c>
      <c r="D62" s="336">
        <v>25350</v>
      </c>
      <c r="E62" s="336">
        <v>25070</v>
      </c>
      <c r="F62" s="336">
        <v>24940</v>
      </c>
      <c r="G62" s="336">
        <v>24804</v>
      </c>
      <c r="H62" s="336">
        <v>24655</v>
      </c>
    </row>
    <row r="63" spans="1:8">
      <c r="A63" s="47"/>
      <c r="B63" s="325"/>
      <c r="C63" s="325"/>
      <c r="D63" s="325"/>
      <c r="E63" s="325"/>
      <c r="F63" s="325"/>
      <c r="G63" s="325"/>
      <c r="H63" s="325"/>
    </row>
    <row r="64" spans="1:8">
      <c r="A64" s="47"/>
      <c r="B64" s="325" t="s">
        <v>165</v>
      </c>
      <c r="C64" s="340">
        <v>0.12</v>
      </c>
      <c r="D64" s="340">
        <v>0.25</v>
      </c>
      <c r="E64" s="340">
        <v>0.14000000000000001</v>
      </c>
      <c r="F64" s="340">
        <v>0.85</v>
      </c>
      <c r="G64" s="340">
        <v>2.11</v>
      </c>
      <c r="H64" s="340">
        <v>2.5</v>
      </c>
    </row>
    <row r="65" spans="1:8">
      <c r="A65" s="47"/>
      <c r="B65" s="325" t="s">
        <v>166</v>
      </c>
      <c r="C65" s="341">
        <v>0.114492</v>
      </c>
      <c r="D65" s="341">
        <v>0.24262800000000001</v>
      </c>
      <c r="E65" s="341">
        <v>0.13908499999999999</v>
      </c>
      <c r="F65" s="341">
        <v>0.84151900000000002</v>
      </c>
      <c r="G65" s="341">
        <v>2.0912950000000001</v>
      </c>
      <c r="H65" s="341">
        <v>2.4794909999999999</v>
      </c>
    </row>
    <row r="66" spans="1:8">
      <c r="A66" s="47"/>
      <c r="B66" s="325"/>
      <c r="C66" s="325"/>
      <c r="D66" s="325"/>
      <c r="E66" s="325"/>
      <c r="F66" s="325"/>
      <c r="G66" s="325"/>
      <c r="H66" s="325"/>
    </row>
    <row r="67" spans="1:8">
      <c r="A67" s="47"/>
      <c r="B67" s="325" t="s">
        <v>167</v>
      </c>
      <c r="C67" s="340">
        <v>0.02</v>
      </c>
      <c r="D67" s="340">
        <v>0.02</v>
      </c>
      <c r="E67" s="340">
        <v>0.02</v>
      </c>
      <c r="F67" s="340">
        <v>0.02</v>
      </c>
      <c r="G67" s="340">
        <v>0.03</v>
      </c>
      <c r="H67" s="340">
        <v>0.04</v>
      </c>
    </row>
    <row r="68" spans="1:8">
      <c r="A68" s="47"/>
      <c r="B68" s="325" t="s">
        <v>168</v>
      </c>
      <c r="C68" s="342">
        <v>9.1180999999999998E-2</v>
      </c>
      <c r="D68" s="342">
        <v>4.0913999999999999E-2</v>
      </c>
      <c r="E68" s="342">
        <v>9.1117000000000004E-2</v>
      </c>
      <c r="F68" s="342">
        <v>1.3272000000000001E-2</v>
      </c>
      <c r="G68" s="342">
        <v>1.1443E-2</v>
      </c>
      <c r="H68" s="342">
        <v>1.1292999999999999E-2</v>
      </c>
    </row>
    <row r="69" spans="1:8">
      <c r="A69" s="47"/>
      <c r="B69" s="325"/>
      <c r="C69" s="325"/>
      <c r="D69" s="325"/>
      <c r="E69" s="325"/>
      <c r="F69" s="325"/>
      <c r="G69" s="325"/>
      <c r="H69" s="325"/>
    </row>
    <row r="70" spans="1:8">
      <c r="A70" s="47"/>
      <c r="B70" s="325" t="s">
        <v>169</v>
      </c>
      <c r="C70" s="343">
        <v>0.17174</v>
      </c>
      <c r="D70" s="343">
        <v>0.17174</v>
      </c>
      <c r="E70" s="343">
        <v>0.17174</v>
      </c>
      <c r="F70" s="343">
        <v>0.17174</v>
      </c>
      <c r="G70" s="343">
        <v>0.17174</v>
      </c>
      <c r="H70" s="343">
        <v>0.17174</v>
      </c>
    </row>
    <row r="71" spans="1:8">
      <c r="A71" s="47"/>
      <c r="B71" s="325"/>
      <c r="C71" s="325"/>
      <c r="D71" s="325"/>
      <c r="E71" s="325"/>
      <c r="F71" s="325"/>
      <c r="G71" s="325"/>
      <c r="H71" s="325"/>
    </row>
    <row r="72" spans="1:8">
      <c r="A72" s="47"/>
      <c r="B72" s="335" t="s">
        <v>170</v>
      </c>
      <c r="C72" s="325"/>
      <c r="D72" s="325"/>
      <c r="E72" s="325"/>
      <c r="F72" s="325"/>
      <c r="G72" s="325"/>
      <c r="H72" s="325"/>
    </row>
    <row r="73" spans="1:8">
      <c r="A73" s="47"/>
      <c r="B73" s="325" t="s">
        <v>2</v>
      </c>
      <c r="C73" s="336">
        <v>5819</v>
      </c>
      <c r="D73" s="336">
        <v>11215</v>
      </c>
      <c r="E73" s="336">
        <v>7121</v>
      </c>
      <c r="F73" s="336">
        <v>34480</v>
      </c>
      <c r="G73" s="336">
        <v>83317</v>
      </c>
      <c r="H73" s="336">
        <v>98281</v>
      </c>
    </row>
    <row r="74" spans="1:8">
      <c r="A74" s="47"/>
      <c r="B74" s="325" t="s">
        <v>171</v>
      </c>
      <c r="C74" s="336">
        <v>5333</v>
      </c>
      <c r="D74" s="336">
        <v>10604</v>
      </c>
      <c r="E74" s="336">
        <v>6276</v>
      </c>
      <c r="F74" s="336">
        <v>33586</v>
      </c>
      <c r="G74" s="336">
        <v>82046</v>
      </c>
      <c r="H74" s="336">
        <v>96527</v>
      </c>
    </row>
    <row r="75" spans="1:8">
      <c r="A75" s="47"/>
      <c r="B75" s="325" t="s">
        <v>1</v>
      </c>
      <c r="C75" s="336">
        <v>4721</v>
      </c>
      <c r="D75" s="336">
        <v>10041</v>
      </c>
      <c r="E75" s="336">
        <v>5577</v>
      </c>
      <c r="F75" s="336">
        <v>32972</v>
      </c>
      <c r="G75" s="336">
        <v>81453</v>
      </c>
      <c r="H75" s="336">
        <v>95980</v>
      </c>
    </row>
    <row r="76" spans="1:8">
      <c r="A76" s="47"/>
      <c r="B76" s="325" t="s">
        <v>172</v>
      </c>
      <c r="C76" s="336">
        <v>5964</v>
      </c>
      <c r="D76" s="336">
        <v>11383</v>
      </c>
      <c r="E76" s="336">
        <v>7314</v>
      </c>
      <c r="F76" s="336">
        <v>34749</v>
      </c>
      <c r="G76" s="336">
        <v>83673</v>
      </c>
      <c r="H76" s="336" t="s">
        <v>159</v>
      </c>
    </row>
    <row r="77" spans="1:8">
      <c r="A77" s="47"/>
      <c r="B77" s="325" t="s">
        <v>173</v>
      </c>
      <c r="C77" s="342">
        <v>1.7464E-2</v>
      </c>
      <c r="D77" s="342">
        <v>1.9012000000000001E-2</v>
      </c>
      <c r="E77" s="342" t="s">
        <v>174</v>
      </c>
      <c r="F77" s="342">
        <v>0.119995</v>
      </c>
      <c r="G77" s="342">
        <v>0.13264899999999999</v>
      </c>
      <c r="H77" s="342">
        <v>0.139622</v>
      </c>
    </row>
    <row r="78" spans="1:8">
      <c r="A78" s="47"/>
      <c r="B78" s="325" t="s">
        <v>175</v>
      </c>
      <c r="C78" s="336">
        <v>198</v>
      </c>
      <c r="D78" s="336">
        <v>524</v>
      </c>
      <c r="E78" s="336">
        <v>1749</v>
      </c>
      <c r="F78" s="336">
        <v>6045</v>
      </c>
      <c r="G78" s="336">
        <v>14924</v>
      </c>
      <c r="H78" s="336">
        <v>14924</v>
      </c>
    </row>
    <row r="79" spans="1:8">
      <c r="A79" s="47"/>
      <c r="B79" s="325" t="s">
        <v>176</v>
      </c>
      <c r="C79" s="336">
        <v>161</v>
      </c>
      <c r="D79" s="336">
        <v>71</v>
      </c>
      <c r="E79" s="336">
        <v>228</v>
      </c>
      <c r="F79" s="336">
        <v>502</v>
      </c>
      <c r="G79" s="336">
        <v>699</v>
      </c>
      <c r="H79" s="336">
        <v>699</v>
      </c>
    </row>
    <row r="80" spans="1:8">
      <c r="A80" s="47"/>
      <c r="B80" s="325" t="s">
        <v>177</v>
      </c>
      <c r="C80" s="336">
        <v>359</v>
      </c>
      <c r="D80" s="336">
        <v>595</v>
      </c>
      <c r="E80" s="336">
        <v>1977</v>
      </c>
      <c r="F80" s="336">
        <v>6547</v>
      </c>
      <c r="G80" s="336">
        <v>15623</v>
      </c>
      <c r="H80" s="336">
        <v>15623</v>
      </c>
    </row>
    <row r="81" spans="1:8">
      <c r="A81" s="47"/>
      <c r="B81" s="325" t="s">
        <v>178</v>
      </c>
      <c r="C81" s="336">
        <v>-246</v>
      </c>
      <c r="D81" s="336">
        <v>-420</v>
      </c>
      <c r="E81" s="336">
        <v>-2165</v>
      </c>
      <c r="F81" s="336">
        <v>-2705</v>
      </c>
      <c r="G81" s="336">
        <v>-4757</v>
      </c>
      <c r="H81" s="336">
        <v>-4757</v>
      </c>
    </row>
    <row r="82" spans="1:8">
      <c r="A82" s="47"/>
      <c r="B82" s="325" t="s">
        <v>179</v>
      </c>
      <c r="C82" s="336">
        <v>-36</v>
      </c>
      <c r="D82" s="336">
        <v>14</v>
      </c>
      <c r="E82" s="336">
        <v>1</v>
      </c>
      <c r="F82" s="336">
        <v>216</v>
      </c>
      <c r="G82" s="336">
        <v>280</v>
      </c>
      <c r="H82" s="336">
        <v>280</v>
      </c>
    </row>
    <row r="83" spans="1:8">
      <c r="A83" s="47"/>
      <c r="B83" s="325" t="s">
        <v>180</v>
      </c>
      <c r="C83" s="336">
        <v>-282</v>
      </c>
      <c r="D83" s="336">
        <v>-406</v>
      </c>
      <c r="E83" s="336">
        <v>-2164</v>
      </c>
      <c r="F83" s="336">
        <v>-2489</v>
      </c>
      <c r="G83" s="336">
        <v>-4477</v>
      </c>
      <c r="H83" s="336">
        <v>-4477</v>
      </c>
    </row>
    <row r="84" spans="1:8">
      <c r="A84" s="47"/>
      <c r="B84" s="325"/>
      <c r="C84" s="325"/>
      <c r="D84" s="325"/>
      <c r="E84" s="325"/>
      <c r="F84" s="325"/>
      <c r="G84" s="325"/>
      <c r="H84" s="325"/>
    </row>
    <row r="85" spans="1:8">
      <c r="A85" s="47"/>
      <c r="B85" s="325" t="s">
        <v>181</v>
      </c>
      <c r="C85" s="336">
        <v>2873.75</v>
      </c>
      <c r="D85" s="336">
        <v>6150.625</v>
      </c>
      <c r="E85" s="336">
        <v>3486.875</v>
      </c>
      <c r="F85" s="336">
        <v>20987.5</v>
      </c>
      <c r="G85" s="336">
        <v>51872.5</v>
      </c>
      <c r="H85" s="336">
        <v>61131.875</v>
      </c>
    </row>
    <row r="86" spans="1:8">
      <c r="A86" s="47"/>
      <c r="B86" s="325" t="s">
        <v>182</v>
      </c>
      <c r="C86" s="336" t="s">
        <v>159</v>
      </c>
      <c r="D86" s="336" t="s">
        <v>159</v>
      </c>
      <c r="E86" s="336" t="s">
        <v>159</v>
      </c>
      <c r="F86" s="336" t="s">
        <v>159</v>
      </c>
      <c r="G86" s="336" t="s">
        <v>159</v>
      </c>
      <c r="H86" s="336" t="s">
        <v>159</v>
      </c>
    </row>
    <row r="87" spans="1:8">
      <c r="A87" s="47"/>
      <c r="B87" s="325" t="s">
        <v>183</v>
      </c>
      <c r="C87" s="344">
        <v>44981</v>
      </c>
      <c r="D87" s="344">
        <v>45343</v>
      </c>
      <c r="E87" s="344">
        <v>45714</v>
      </c>
      <c r="F87" s="344">
        <v>45714</v>
      </c>
      <c r="G87" s="344">
        <v>45714</v>
      </c>
      <c r="H87" s="344">
        <v>45896</v>
      </c>
    </row>
    <row r="88" spans="1:8">
      <c r="A88" s="47"/>
      <c r="B88" s="325" t="s">
        <v>184</v>
      </c>
      <c r="C88" s="345" t="s">
        <v>185</v>
      </c>
      <c r="D88" s="345" t="s">
        <v>185</v>
      </c>
      <c r="E88" s="345" t="s">
        <v>185</v>
      </c>
      <c r="F88" s="345" t="s">
        <v>185</v>
      </c>
      <c r="G88" s="345" t="s">
        <v>186</v>
      </c>
      <c r="H88" s="345" t="s">
        <v>186</v>
      </c>
    </row>
    <row r="89" spans="1:8">
      <c r="A89" s="47"/>
      <c r="B89" s="325" t="s">
        <v>187</v>
      </c>
      <c r="C89" s="345" t="s">
        <v>188</v>
      </c>
      <c r="D89" s="345" t="s">
        <v>188</v>
      </c>
      <c r="E89" s="345" t="s">
        <v>188</v>
      </c>
      <c r="F89" s="345" t="s">
        <v>188</v>
      </c>
      <c r="G89" s="345" t="s">
        <v>188</v>
      </c>
      <c r="H89" s="345" t="s">
        <v>91</v>
      </c>
    </row>
    <row r="90" spans="1:8">
      <c r="A90" s="47"/>
      <c r="B90" s="325"/>
      <c r="C90" s="325"/>
      <c r="D90" s="325"/>
      <c r="E90" s="325"/>
      <c r="F90" s="325"/>
      <c r="G90" s="325"/>
      <c r="H90" s="325"/>
    </row>
    <row r="91" spans="1:8">
      <c r="A91" s="47"/>
      <c r="B91" s="335" t="s">
        <v>189</v>
      </c>
      <c r="C91" s="325"/>
      <c r="D91" s="325"/>
      <c r="E91" s="325"/>
      <c r="F91" s="325"/>
      <c r="G91" s="325"/>
      <c r="H91" s="325"/>
    </row>
    <row r="92" spans="1:8">
      <c r="A92" s="47"/>
      <c r="B92" s="325" t="s">
        <v>190</v>
      </c>
      <c r="C92" s="336" t="s">
        <v>159</v>
      </c>
      <c r="D92" s="336" t="s">
        <v>159</v>
      </c>
      <c r="E92" s="336" t="s">
        <v>159</v>
      </c>
      <c r="F92" s="336" t="s">
        <v>159</v>
      </c>
      <c r="G92" s="336" t="s">
        <v>159</v>
      </c>
      <c r="H92" s="336" t="s">
        <v>159</v>
      </c>
    </row>
    <row r="93" spans="1:8">
      <c r="A93" s="47"/>
      <c r="B93" s="325" t="s">
        <v>191</v>
      </c>
      <c r="C93" s="336" t="s">
        <v>159</v>
      </c>
      <c r="D93" s="336" t="s">
        <v>159</v>
      </c>
      <c r="E93" s="336" t="s">
        <v>159</v>
      </c>
      <c r="F93" s="336" t="s">
        <v>159</v>
      </c>
      <c r="G93" s="336" t="s">
        <v>159</v>
      </c>
      <c r="H93" s="336" t="s">
        <v>159</v>
      </c>
    </row>
    <row r="94" spans="1:8">
      <c r="A94" s="47"/>
      <c r="B94" s="325" t="s">
        <v>192</v>
      </c>
      <c r="C94" s="336">
        <v>3924</v>
      </c>
      <c r="D94" s="336">
        <v>5268</v>
      </c>
      <c r="E94" s="336">
        <v>7339</v>
      </c>
      <c r="F94" s="336">
        <v>8675</v>
      </c>
      <c r="G94" s="336">
        <v>12914</v>
      </c>
      <c r="H94" s="336">
        <v>15384</v>
      </c>
    </row>
    <row r="95" spans="1:8">
      <c r="A95" s="47"/>
      <c r="B95" s="325" t="s">
        <v>193</v>
      </c>
      <c r="C95" s="336">
        <v>145</v>
      </c>
      <c r="D95" s="336">
        <v>168</v>
      </c>
      <c r="E95" s="336">
        <v>193</v>
      </c>
      <c r="F95" s="336">
        <v>269</v>
      </c>
      <c r="G95" s="336">
        <v>356</v>
      </c>
      <c r="H95" s="336" t="s">
        <v>159</v>
      </c>
    </row>
    <row r="96" spans="1:8">
      <c r="A96" s="47"/>
      <c r="B96" s="325" t="s">
        <v>194</v>
      </c>
      <c r="C96" s="336">
        <v>41.686920000000001</v>
      </c>
      <c r="D96" s="336">
        <v>32.651136000000001</v>
      </c>
      <c r="E96" s="336">
        <v>33.904696000000001</v>
      </c>
      <c r="F96" s="336">
        <v>47.909976</v>
      </c>
      <c r="G96" s="336">
        <v>65.971072000000007</v>
      </c>
      <c r="H96" s="336" t="s">
        <v>15</v>
      </c>
    </row>
    <row r="97" spans="1:8">
      <c r="A97" s="47"/>
      <c r="B97" s="325" t="s">
        <v>195</v>
      </c>
      <c r="C97" s="336">
        <v>103.31308</v>
      </c>
      <c r="D97" s="336">
        <v>135.34886399999999</v>
      </c>
      <c r="E97" s="336">
        <v>159.095304</v>
      </c>
      <c r="F97" s="336">
        <v>221.090024</v>
      </c>
      <c r="G97" s="336">
        <v>290.02892800000001</v>
      </c>
      <c r="H97" s="336" t="s">
        <v>15</v>
      </c>
    </row>
    <row r="98" spans="1:8">
      <c r="A98" s="47"/>
      <c r="B98" s="325"/>
      <c r="C98" s="325"/>
      <c r="D98" s="325"/>
      <c r="E98" s="325"/>
      <c r="F98" s="325"/>
      <c r="G98" s="325"/>
      <c r="H98" s="325"/>
    </row>
    <row r="99" spans="1:8">
      <c r="A99" s="47"/>
      <c r="B99" s="325" t="s">
        <v>196</v>
      </c>
      <c r="C99" s="336">
        <v>88</v>
      </c>
      <c r="D99" s="336">
        <v>141</v>
      </c>
      <c r="E99" s="336">
        <v>138</v>
      </c>
      <c r="F99" s="336">
        <v>141</v>
      </c>
      <c r="G99" s="336">
        <v>178</v>
      </c>
      <c r="H99" s="336">
        <v>226</v>
      </c>
    </row>
    <row r="100" spans="1:8">
      <c r="A100" s="47"/>
      <c r="B100" s="325" t="s">
        <v>197</v>
      </c>
      <c r="C100" s="336">
        <v>860</v>
      </c>
      <c r="D100" s="336">
        <v>1298</v>
      </c>
      <c r="E100" s="336">
        <v>1892</v>
      </c>
      <c r="F100" s="336">
        <v>2532</v>
      </c>
      <c r="G100" s="336">
        <v>3423</v>
      </c>
      <c r="H100" s="336">
        <v>4118</v>
      </c>
    </row>
    <row r="101" spans="1:8">
      <c r="A101" s="47"/>
      <c r="B101" s="325" t="s">
        <v>198</v>
      </c>
      <c r="C101" s="336">
        <v>449</v>
      </c>
      <c r="D101" s="336">
        <v>565</v>
      </c>
      <c r="E101" s="336">
        <v>680</v>
      </c>
      <c r="F101" s="336">
        <v>876</v>
      </c>
      <c r="G101" s="336">
        <v>1136</v>
      </c>
      <c r="H101" s="336">
        <v>1328</v>
      </c>
    </row>
    <row r="102" spans="1:8">
      <c r="A102" s="47"/>
      <c r="B102" s="335" t="s">
        <v>199</v>
      </c>
      <c r="C102" s="338">
        <v>1397</v>
      </c>
      <c r="D102" s="338">
        <v>2004</v>
      </c>
      <c r="E102" s="338">
        <v>2710</v>
      </c>
      <c r="F102" s="338">
        <v>3549</v>
      </c>
      <c r="G102" s="338">
        <v>4737</v>
      </c>
      <c r="H102" s="338">
        <v>5672</v>
      </c>
    </row>
    <row r="103" spans="1:8">
      <c r="A103" s="47"/>
      <c r="B103" s="325"/>
      <c r="C103" s="325"/>
      <c r="D103" s="325"/>
      <c r="E103" s="325"/>
      <c r="F103" s="325"/>
      <c r="G103" s="325"/>
      <c r="H103" s="325"/>
    </row>
    <row r="104" spans="1:8">
      <c r="A104" s="47"/>
      <c r="B104" s="346"/>
      <c r="C104" s="346"/>
      <c r="D104" s="346"/>
      <c r="E104" s="346"/>
      <c r="F104" s="346"/>
      <c r="G104" s="346"/>
      <c r="H104" s="346"/>
    </row>
    <row r="105" spans="1:8">
      <c r="A105" s="47"/>
      <c r="B105" s="47" t="s">
        <v>200</v>
      </c>
      <c r="C105" s="47"/>
      <c r="D105" s="47"/>
      <c r="E105" s="47"/>
      <c r="F105" s="47"/>
      <c r="G105" s="47"/>
      <c r="H105" s="47"/>
    </row>
    <row r="106" spans="1:8">
      <c r="A106" s="47"/>
      <c r="B106" s="347" t="s">
        <v>201</v>
      </c>
      <c r="C106" s="47"/>
      <c r="D106" s="47"/>
      <c r="E106" s="47"/>
      <c r="F106" s="47"/>
      <c r="G106" s="47"/>
      <c r="H106" s="47"/>
    </row>
    <row r="107" spans="1:8">
      <c r="A107" s="47"/>
      <c r="B107" s="348" t="s">
        <v>239</v>
      </c>
      <c r="C107" s="47"/>
      <c r="D107" s="47"/>
      <c r="E107" s="47"/>
      <c r="F107" s="47"/>
      <c r="G107" s="47"/>
      <c r="H107" s="47"/>
    </row>
  </sheetData>
  <mergeCells count="1">
    <mergeCell ref="B3:H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38A6-DF78-4F4B-9A87-4216DA73D472}">
  <dimension ref="B1:IN90"/>
  <sheetViews>
    <sheetView showGridLines="0" workbookViewId="0"/>
  </sheetViews>
  <sheetFormatPr defaultRowHeight="17.600000000000001"/>
  <cols>
    <col min="1" max="1" width="3.61328125" style="8" customWidth="1"/>
    <col min="2" max="2" width="32.07421875" style="8" customWidth="1"/>
    <col min="3" max="8" width="14.84375" style="8" customWidth="1"/>
    <col min="9" max="249" width="9.23046875" style="8"/>
    <col min="250" max="250" width="45.84375" style="8" customWidth="1"/>
    <col min="251" max="264" width="14.84375" style="8" customWidth="1"/>
    <col min="265" max="505" width="9.23046875" style="8"/>
    <col min="506" max="506" width="45.84375" style="8" customWidth="1"/>
    <col min="507" max="520" width="14.84375" style="8" customWidth="1"/>
    <col min="521" max="761" width="9.23046875" style="8"/>
    <col min="762" max="762" width="45.84375" style="8" customWidth="1"/>
    <col min="763" max="776" width="14.84375" style="8" customWidth="1"/>
    <col min="777" max="1017" width="9.23046875" style="8"/>
    <col min="1018" max="1018" width="45.84375" style="8" customWidth="1"/>
    <col min="1019" max="1032" width="14.84375" style="8" customWidth="1"/>
    <col min="1033" max="1273" width="9.23046875" style="8"/>
    <col min="1274" max="1274" width="45.84375" style="8" customWidth="1"/>
    <col min="1275" max="1288" width="14.84375" style="8" customWidth="1"/>
    <col min="1289" max="1529" width="9.23046875" style="8"/>
    <col min="1530" max="1530" width="45.84375" style="8" customWidth="1"/>
    <col min="1531" max="1544" width="14.84375" style="8" customWidth="1"/>
    <col min="1545" max="1785" width="9.23046875" style="8"/>
    <col min="1786" max="1786" width="45.84375" style="8" customWidth="1"/>
    <col min="1787" max="1800" width="14.84375" style="8" customWidth="1"/>
    <col min="1801" max="2041" width="9.23046875" style="8"/>
    <col min="2042" max="2042" width="45.84375" style="8" customWidth="1"/>
    <col min="2043" max="2056" width="14.84375" style="8" customWidth="1"/>
    <col min="2057" max="2297" width="9.23046875" style="8"/>
    <col min="2298" max="2298" width="45.84375" style="8" customWidth="1"/>
    <col min="2299" max="2312" width="14.84375" style="8" customWidth="1"/>
    <col min="2313" max="2553" width="9.23046875" style="8"/>
    <col min="2554" max="2554" width="45.84375" style="8" customWidth="1"/>
    <col min="2555" max="2568" width="14.84375" style="8" customWidth="1"/>
    <col min="2569" max="2809" width="9.23046875" style="8"/>
    <col min="2810" max="2810" width="45.84375" style="8" customWidth="1"/>
    <col min="2811" max="2824" width="14.84375" style="8" customWidth="1"/>
    <col min="2825" max="3065" width="9.23046875" style="8"/>
    <col min="3066" max="3066" width="45.84375" style="8" customWidth="1"/>
    <col min="3067" max="3080" width="14.84375" style="8" customWidth="1"/>
    <col min="3081" max="3321" width="9.23046875" style="8"/>
    <col min="3322" max="3322" width="45.84375" style="8" customWidth="1"/>
    <col min="3323" max="3336" width="14.84375" style="8" customWidth="1"/>
    <col min="3337" max="3577" width="9.23046875" style="8"/>
    <col min="3578" max="3578" width="45.84375" style="8" customWidth="1"/>
    <col min="3579" max="3592" width="14.84375" style="8" customWidth="1"/>
    <col min="3593" max="3833" width="9.23046875" style="8"/>
    <col min="3834" max="3834" width="45.84375" style="8" customWidth="1"/>
    <col min="3835" max="3848" width="14.84375" style="8" customWidth="1"/>
    <col min="3849" max="4089" width="9.23046875" style="8"/>
    <col min="4090" max="4090" width="45.84375" style="8" customWidth="1"/>
    <col min="4091" max="4104" width="14.84375" style="8" customWidth="1"/>
    <col min="4105" max="4345" width="9.23046875" style="8"/>
    <col min="4346" max="4346" width="45.84375" style="8" customWidth="1"/>
    <col min="4347" max="4360" width="14.84375" style="8" customWidth="1"/>
    <col min="4361" max="4601" width="9.23046875" style="8"/>
    <col min="4602" max="4602" width="45.84375" style="8" customWidth="1"/>
    <col min="4603" max="4616" width="14.84375" style="8" customWidth="1"/>
    <col min="4617" max="4857" width="9.23046875" style="8"/>
    <col min="4858" max="4858" width="45.84375" style="8" customWidth="1"/>
    <col min="4859" max="4872" width="14.84375" style="8" customWidth="1"/>
    <col min="4873" max="5113" width="9.23046875" style="8"/>
    <col min="5114" max="5114" width="45.84375" style="8" customWidth="1"/>
    <col min="5115" max="5128" width="14.84375" style="8" customWidth="1"/>
    <col min="5129" max="5369" width="9.23046875" style="8"/>
    <col min="5370" max="5370" width="45.84375" style="8" customWidth="1"/>
    <col min="5371" max="5384" width="14.84375" style="8" customWidth="1"/>
    <col min="5385" max="5625" width="9.23046875" style="8"/>
    <col min="5626" max="5626" width="45.84375" style="8" customWidth="1"/>
    <col min="5627" max="5640" width="14.84375" style="8" customWidth="1"/>
    <col min="5641" max="5881" width="9.23046875" style="8"/>
    <col min="5882" max="5882" width="45.84375" style="8" customWidth="1"/>
    <col min="5883" max="5896" width="14.84375" style="8" customWidth="1"/>
    <col min="5897" max="6137" width="9.23046875" style="8"/>
    <col min="6138" max="6138" width="45.84375" style="8" customWidth="1"/>
    <col min="6139" max="6152" width="14.84375" style="8" customWidth="1"/>
    <col min="6153" max="6393" width="9.23046875" style="8"/>
    <col min="6394" max="6394" width="45.84375" style="8" customWidth="1"/>
    <col min="6395" max="6408" width="14.84375" style="8" customWidth="1"/>
    <col min="6409" max="6649" width="9.23046875" style="8"/>
    <col min="6650" max="6650" width="45.84375" style="8" customWidth="1"/>
    <col min="6651" max="6664" width="14.84375" style="8" customWidth="1"/>
    <col min="6665" max="6905" width="9.23046875" style="8"/>
    <col min="6906" max="6906" width="45.84375" style="8" customWidth="1"/>
    <col min="6907" max="6920" width="14.84375" style="8" customWidth="1"/>
    <col min="6921" max="7161" width="9.23046875" style="8"/>
    <col min="7162" max="7162" width="45.84375" style="8" customWidth="1"/>
    <col min="7163" max="7176" width="14.84375" style="8" customWidth="1"/>
    <col min="7177" max="7417" width="9.23046875" style="8"/>
    <col min="7418" max="7418" width="45.84375" style="8" customWidth="1"/>
    <col min="7419" max="7432" width="14.84375" style="8" customWidth="1"/>
    <col min="7433" max="7673" width="9.23046875" style="8"/>
    <col min="7674" max="7674" width="45.84375" style="8" customWidth="1"/>
    <col min="7675" max="7688" width="14.84375" style="8" customWidth="1"/>
    <col min="7689" max="7929" width="9.23046875" style="8"/>
    <col min="7930" max="7930" width="45.84375" style="8" customWidth="1"/>
    <col min="7931" max="7944" width="14.84375" style="8" customWidth="1"/>
    <col min="7945" max="8185" width="9.23046875" style="8"/>
    <col min="8186" max="8186" width="45.84375" style="8" customWidth="1"/>
    <col min="8187" max="8200" width="14.84375" style="8" customWidth="1"/>
    <col min="8201" max="8441" width="9.23046875" style="8"/>
    <col min="8442" max="8442" width="45.84375" style="8" customWidth="1"/>
    <col min="8443" max="8456" width="14.84375" style="8" customWidth="1"/>
    <col min="8457" max="8697" width="9.23046875" style="8"/>
    <col min="8698" max="8698" width="45.84375" style="8" customWidth="1"/>
    <col min="8699" max="8712" width="14.84375" style="8" customWidth="1"/>
    <col min="8713" max="8953" width="9.23046875" style="8"/>
    <col min="8954" max="8954" width="45.84375" style="8" customWidth="1"/>
    <col min="8955" max="8968" width="14.84375" style="8" customWidth="1"/>
    <col min="8969" max="9209" width="9.23046875" style="8"/>
    <col min="9210" max="9210" width="45.84375" style="8" customWidth="1"/>
    <col min="9211" max="9224" width="14.84375" style="8" customWidth="1"/>
    <col min="9225" max="9465" width="9.23046875" style="8"/>
    <col min="9466" max="9466" width="45.84375" style="8" customWidth="1"/>
    <col min="9467" max="9480" width="14.84375" style="8" customWidth="1"/>
    <col min="9481" max="9721" width="9.23046875" style="8"/>
    <col min="9722" max="9722" width="45.84375" style="8" customWidth="1"/>
    <col min="9723" max="9736" width="14.84375" style="8" customWidth="1"/>
    <col min="9737" max="9977" width="9.23046875" style="8"/>
    <col min="9978" max="9978" width="45.84375" style="8" customWidth="1"/>
    <col min="9979" max="9992" width="14.84375" style="8" customWidth="1"/>
    <col min="9993" max="10233" width="9.23046875" style="8"/>
    <col min="10234" max="10234" width="45.84375" style="8" customWidth="1"/>
    <col min="10235" max="10248" width="14.84375" style="8" customWidth="1"/>
    <col min="10249" max="10489" width="9.23046875" style="8"/>
    <col min="10490" max="10490" width="45.84375" style="8" customWidth="1"/>
    <col min="10491" max="10504" width="14.84375" style="8" customWidth="1"/>
    <col min="10505" max="10745" width="9.23046875" style="8"/>
    <col min="10746" max="10746" width="45.84375" style="8" customWidth="1"/>
    <col min="10747" max="10760" width="14.84375" style="8" customWidth="1"/>
    <col min="10761" max="11001" width="9.23046875" style="8"/>
    <col min="11002" max="11002" width="45.84375" style="8" customWidth="1"/>
    <col min="11003" max="11016" width="14.84375" style="8" customWidth="1"/>
    <col min="11017" max="11257" width="9.23046875" style="8"/>
    <col min="11258" max="11258" width="45.84375" style="8" customWidth="1"/>
    <col min="11259" max="11272" width="14.84375" style="8" customWidth="1"/>
    <col min="11273" max="11513" width="9.23046875" style="8"/>
    <col min="11514" max="11514" width="45.84375" style="8" customWidth="1"/>
    <col min="11515" max="11528" width="14.84375" style="8" customWidth="1"/>
    <col min="11529" max="11769" width="9.23046875" style="8"/>
    <col min="11770" max="11770" width="45.84375" style="8" customWidth="1"/>
    <col min="11771" max="11784" width="14.84375" style="8" customWidth="1"/>
    <col min="11785" max="12025" width="9.23046875" style="8"/>
    <col min="12026" max="12026" width="45.84375" style="8" customWidth="1"/>
    <col min="12027" max="12040" width="14.84375" style="8" customWidth="1"/>
    <col min="12041" max="12281" width="9.23046875" style="8"/>
    <col min="12282" max="12282" width="45.84375" style="8" customWidth="1"/>
    <col min="12283" max="12296" width="14.84375" style="8" customWidth="1"/>
    <col min="12297" max="12537" width="9.23046875" style="8"/>
    <col min="12538" max="12538" width="45.84375" style="8" customWidth="1"/>
    <col min="12539" max="12552" width="14.84375" style="8" customWidth="1"/>
    <col min="12553" max="12793" width="9.23046875" style="8"/>
    <col min="12794" max="12794" width="45.84375" style="8" customWidth="1"/>
    <col min="12795" max="12808" width="14.84375" style="8" customWidth="1"/>
    <col min="12809" max="13049" width="9.23046875" style="8"/>
    <col min="13050" max="13050" width="45.84375" style="8" customWidth="1"/>
    <col min="13051" max="13064" width="14.84375" style="8" customWidth="1"/>
    <col min="13065" max="13305" width="9.23046875" style="8"/>
    <col min="13306" max="13306" width="45.84375" style="8" customWidth="1"/>
    <col min="13307" max="13320" width="14.84375" style="8" customWidth="1"/>
    <col min="13321" max="13561" width="9.23046875" style="8"/>
    <col min="13562" max="13562" width="45.84375" style="8" customWidth="1"/>
    <col min="13563" max="13576" width="14.84375" style="8" customWidth="1"/>
    <col min="13577" max="13817" width="9.23046875" style="8"/>
    <col min="13818" max="13818" width="45.84375" style="8" customWidth="1"/>
    <col min="13819" max="13832" width="14.84375" style="8" customWidth="1"/>
    <col min="13833" max="14073" width="9.23046875" style="8"/>
    <col min="14074" max="14074" width="45.84375" style="8" customWidth="1"/>
    <col min="14075" max="14088" width="14.84375" style="8" customWidth="1"/>
    <col min="14089" max="14329" width="9.23046875" style="8"/>
    <col min="14330" max="14330" width="45.84375" style="8" customWidth="1"/>
    <col min="14331" max="14344" width="14.84375" style="8" customWidth="1"/>
    <col min="14345" max="14585" width="9.23046875" style="8"/>
    <col min="14586" max="14586" width="45.84375" style="8" customWidth="1"/>
    <col min="14587" max="14600" width="14.84375" style="8" customWidth="1"/>
    <col min="14601" max="14841" width="9.23046875" style="8"/>
    <col min="14842" max="14842" width="45.84375" style="8" customWidth="1"/>
    <col min="14843" max="14856" width="14.84375" style="8" customWidth="1"/>
    <col min="14857" max="15097" width="9.23046875" style="8"/>
    <col min="15098" max="15098" width="45.84375" style="8" customWidth="1"/>
    <col min="15099" max="15112" width="14.84375" style="8" customWidth="1"/>
    <col min="15113" max="15353" width="9.23046875" style="8"/>
    <col min="15354" max="15354" width="45.84375" style="8" customWidth="1"/>
    <col min="15355" max="15368" width="14.84375" style="8" customWidth="1"/>
    <col min="15369" max="15609" width="9.23046875" style="8"/>
    <col min="15610" max="15610" width="45.84375" style="8" customWidth="1"/>
    <col min="15611" max="15624" width="14.84375" style="8" customWidth="1"/>
    <col min="15625" max="15865" width="9.23046875" style="8"/>
    <col min="15866" max="15866" width="45.84375" style="8" customWidth="1"/>
    <col min="15867" max="15880" width="14.84375" style="8" customWidth="1"/>
    <col min="15881" max="16121" width="9.23046875" style="8"/>
    <col min="16122" max="16122" width="45.84375" style="8" customWidth="1"/>
    <col min="16123" max="16136" width="14.84375" style="8" customWidth="1"/>
    <col min="16137" max="16384" width="9.23046875" style="8"/>
  </cols>
  <sheetData>
    <row r="1" spans="2:248" s="1" customFormat="1" ht="58.85" customHeight="1">
      <c r="B1" s="2"/>
      <c r="C1" s="7" t="s">
        <v>25</v>
      </c>
      <c r="D1" s="2"/>
      <c r="E1" s="2"/>
      <c r="F1" s="2"/>
      <c r="G1" s="2"/>
      <c r="H1" s="2"/>
    </row>
    <row r="3" spans="2:248" s="11" customFormat="1" ht="24.9">
      <c r="B3" s="716" t="s">
        <v>9</v>
      </c>
      <c r="C3" s="716"/>
      <c r="D3" s="716"/>
      <c r="E3" s="716"/>
      <c r="F3" s="716"/>
      <c r="G3" s="716"/>
      <c r="H3" s="716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</row>
    <row r="4" spans="2:248" s="11" customFormat="1" ht="24.9">
      <c r="B4" s="327"/>
      <c r="C4" s="327"/>
      <c r="D4" s="327"/>
      <c r="E4" s="327"/>
      <c r="F4" s="327"/>
      <c r="G4" s="327"/>
      <c r="H4" s="328" t="s">
        <v>91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</row>
    <row r="5" spans="2:248">
      <c r="B5" s="329" t="s">
        <v>466</v>
      </c>
      <c r="C5" s="330">
        <v>44227</v>
      </c>
      <c r="D5" s="330">
        <v>44591</v>
      </c>
      <c r="E5" s="330">
        <v>44955</v>
      </c>
      <c r="F5" s="330">
        <v>45319</v>
      </c>
      <c r="G5" s="330">
        <v>45683</v>
      </c>
      <c r="H5" s="330">
        <v>45684</v>
      </c>
    </row>
    <row r="6" spans="2:248">
      <c r="B6" s="331" t="s">
        <v>255</v>
      </c>
      <c r="C6" s="332" t="s">
        <v>256</v>
      </c>
      <c r="D6" s="332" t="s">
        <v>256</v>
      </c>
      <c r="E6" s="332" t="s">
        <v>256</v>
      </c>
      <c r="F6" s="332" t="s">
        <v>256</v>
      </c>
      <c r="G6" s="332" t="s">
        <v>256</v>
      </c>
      <c r="H6" s="332"/>
    </row>
    <row r="7" spans="2:248">
      <c r="B7" s="333" t="s">
        <v>130</v>
      </c>
      <c r="C7" s="334" t="s">
        <v>131</v>
      </c>
      <c r="D7" s="334" t="s">
        <v>131</v>
      </c>
      <c r="E7" s="334" t="s">
        <v>131</v>
      </c>
      <c r="F7" s="334" t="s">
        <v>131</v>
      </c>
      <c r="G7" s="334" t="s">
        <v>131</v>
      </c>
      <c r="H7" s="334" t="s">
        <v>131</v>
      </c>
    </row>
    <row r="8" spans="2:248">
      <c r="B8" s="335" t="s">
        <v>26</v>
      </c>
      <c r="C8" s="325"/>
      <c r="D8" s="325"/>
      <c r="E8" s="325"/>
      <c r="F8" s="325"/>
      <c r="G8" s="325"/>
      <c r="H8" s="325"/>
    </row>
    <row r="9" spans="2:248">
      <c r="B9" s="325" t="s">
        <v>27</v>
      </c>
      <c r="C9" s="336">
        <v>847</v>
      </c>
      <c r="D9" s="336">
        <v>1990</v>
      </c>
      <c r="E9" s="336">
        <v>3389</v>
      </c>
      <c r="F9" s="336">
        <v>7280</v>
      </c>
      <c r="G9" s="336">
        <v>8589</v>
      </c>
      <c r="H9" s="336">
        <v>11639</v>
      </c>
    </row>
    <row r="10" spans="2:248">
      <c r="B10" s="325" t="s">
        <v>28</v>
      </c>
      <c r="C10" s="336">
        <v>10714</v>
      </c>
      <c r="D10" s="336">
        <v>19218</v>
      </c>
      <c r="E10" s="336">
        <v>9907</v>
      </c>
      <c r="F10" s="336">
        <v>18704</v>
      </c>
      <c r="G10" s="336">
        <v>34621</v>
      </c>
      <c r="H10" s="336">
        <v>45152</v>
      </c>
    </row>
    <row r="11" spans="2:248">
      <c r="B11" s="335" t="s">
        <v>29</v>
      </c>
      <c r="C11" s="337">
        <v>11561</v>
      </c>
      <c r="D11" s="337">
        <v>21208</v>
      </c>
      <c r="E11" s="337">
        <v>13296</v>
      </c>
      <c r="F11" s="337">
        <v>25984</v>
      </c>
      <c r="G11" s="337">
        <v>43210</v>
      </c>
      <c r="H11" s="337">
        <v>56791</v>
      </c>
    </row>
    <row r="12" spans="2:248">
      <c r="B12" s="325"/>
      <c r="C12" s="325"/>
      <c r="D12" s="325"/>
      <c r="E12" s="325"/>
      <c r="F12" s="325"/>
      <c r="G12" s="325"/>
      <c r="H12" s="325"/>
    </row>
    <row r="13" spans="2:248">
      <c r="B13" s="325" t="s">
        <v>30</v>
      </c>
      <c r="C13" s="336">
        <v>2429</v>
      </c>
      <c r="D13" s="336">
        <v>4650</v>
      </c>
      <c r="E13" s="336">
        <v>3827</v>
      </c>
      <c r="F13" s="336">
        <v>9999</v>
      </c>
      <c r="G13" s="336">
        <v>23065</v>
      </c>
      <c r="H13" s="336">
        <v>27808</v>
      </c>
    </row>
    <row r="14" spans="2:248">
      <c r="B14" s="335" t="s">
        <v>31</v>
      </c>
      <c r="C14" s="337">
        <v>2429</v>
      </c>
      <c r="D14" s="337">
        <v>4650</v>
      </c>
      <c r="E14" s="337">
        <v>3827</v>
      </c>
      <c r="F14" s="337">
        <v>9999</v>
      </c>
      <c r="G14" s="337">
        <v>23065</v>
      </c>
      <c r="H14" s="337">
        <v>27808</v>
      </c>
    </row>
    <row r="15" spans="2:248">
      <c r="B15" s="325"/>
      <c r="C15" s="325"/>
      <c r="D15" s="325"/>
      <c r="E15" s="325"/>
      <c r="F15" s="325"/>
      <c r="G15" s="325"/>
      <c r="H15" s="325"/>
    </row>
    <row r="16" spans="2:248">
      <c r="B16" s="325" t="s">
        <v>8</v>
      </c>
      <c r="C16" s="336">
        <v>1826</v>
      </c>
      <c r="D16" s="336">
        <v>2605</v>
      </c>
      <c r="E16" s="336">
        <v>5159</v>
      </c>
      <c r="F16" s="336">
        <v>5282</v>
      </c>
      <c r="G16" s="336">
        <v>10080</v>
      </c>
      <c r="H16" s="336">
        <v>14962</v>
      </c>
    </row>
    <row r="17" spans="2:8">
      <c r="B17" s="325" t="s">
        <v>32</v>
      </c>
      <c r="C17" s="336">
        <v>239</v>
      </c>
      <c r="D17" s="336">
        <v>366</v>
      </c>
      <c r="E17" s="336">
        <v>791</v>
      </c>
      <c r="F17" s="336">
        <v>3080</v>
      </c>
      <c r="G17" s="336">
        <v>3771</v>
      </c>
      <c r="H17" s="336">
        <v>858</v>
      </c>
    </row>
    <row r="18" spans="2:8">
      <c r="B18" s="325" t="s">
        <v>33</v>
      </c>
      <c r="C18" s="336" t="s">
        <v>15</v>
      </c>
      <c r="D18" s="336" t="s">
        <v>15</v>
      </c>
      <c r="E18" s="336" t="s">
        <v>15</v>
      </c>
      <c r="F18" s="336" t="s">
        <v>15</v>
      </c>
      <c r="G18" s="336" t="s">
        <v>15</v>
      </c>
      <c r="H18" s="336" t="s">
        <v>15</v>
      </c>
    </row>
    <row r="19" spans="2:8">
      <c r="B19" s="325" t="s">
        <v>10</v>
      </c>
      <c r="C19" s="336" t="s">
        <v>15</v>
      </c>
      <c r="D19" s="336" t="s">
        <v>15</v>
      </c>
      <c r="E19" s="336" t="s">
        <v>15</v>
      </c>
      <c r="F19" s="336" t="s">
        <v>15</v>
      </c>
      <c r="G19" s="336" t="s">
        <v>15</v>
      </c>
      <c r="H19" s="336">
        <v>1800</v>
      </c>
    </row>
    <row r="20" spans="2:8">
      <c r="B20" s="335" t="s">
        <v>34</v>
      </c>
      <c r="C20" s="337">
        <v>16055</v>
      </c>
      <c r="D20" s="337">
        <v>28829</v>
      </c>
      <c r="E20" s="337">
        <v>23073</v>
      </c>
      <c r="F20" s="337">
        <v>44345</v>
      </c>
      <c r="G20" s="337">
        <v>80126</v>
      </c>
      <c r="H20" s="337">
        <v>102219</v>
      </c>
    </row>
    <row r="21" spans="2:8">
      <c r="B21" s="325"/>
      <c r="C21" s="325"/>
      <c r="D21" s="325"/>
      <c r="E21" s="325"/>
      <c r="F21" s="325"/>
      <c r="G21" s="325"/>
      <c r="H21" s="325"/>
    </row>
    <row r="22" spans="2:8">
      <c r="B22" s="325" t="s">
        <v>35</v>
      </c>
      <c r="C22" s="336">
        <v>4264</v>
      </c>
      <c r="D22" s="336">
        <v>5510</v>
      </c>
      <c r="E22" s="336">
        <v>7539</v>
      </c>
      <c r="F22" s="336">
        <v>8769</v>
      </c>
      <c r="G22" s="336">
        <v>12477</v>
      </c>
      <c r="H22" s="336" t="s">
        <v>15</v>
      </c>
    </row>
    <row r="23" spans="2:8">
      <c r="B23" s="325" t="s">
        <v>36</v>
      </c>
      <c r="C23" s="336">
        <v>-1408</v>
      </c>
      <c r="D23" s="336">
        <v>-1903</v>
      </c>
      <c r="E23" s="336">
        <v>-2694</v>
      </c>
      <c r="F23" s="336">
        <v>-3509</v>
      </c>
      <c r="G23" s="336">
        <v>-4401</v>
      </c>
      <c r="H23" s="336" t="s">
        <v>15</v>
      </c>
    </row>
    <row r="24" spans="2:8">
      <c r="B24" s="335" t="s">
        <v>37</v>
      </c>
      <c r="C24" s="337">
        <v>2856</v>
      </c>
      <c r="D24" s="337">
        <v>3607</v>
      </c>
      <c r="E24" s="337">
        <v>4845</v>
      </c>
      <c r="F24" s="337">
        <v>5260</v>
      </c>
      <c r="G24" s="337">
        <v>8076</v>
      </c>
      <c r="H24" s="337">
        <v>11225</v>
      </c>
    </row>
    <row r="25" spans="2:8">
      <c r="B25" s="325"/>
      <c r="C25" s="325"/>
      <c r="D25" s="325"/>
      <c r="E25" s="325"/>
      <c r="F25" s="325"/>
      <c r="G25" s="325"/>
      <c r="H25" s="325"/>
    </row>
    <row r="26" spans="2:8">
      <c r="B26" s="325" t="s">
        <v>38</v>
      </c>
      <c r="C26" s="336">
        <v>144</v>
      </c>
      <c r="D26" s="336">
        <v>266</v>
      </c>
      <c r="E26" s="336">
        <v>299</v>
      </c>
      <c r="F26" s="336">
        <v>1321</v>
      </c>
      <c r="G26" s="336">
        <v>3387</v>
      </c>
      <c r="H26" s="336">
        <v>3799</v>
      </c>
    </row>
    <row r="27" spans="2:8">
      <c r="B27" s="325" t="s">
        <v>39</v>
      </c>
      <c r="C27" s="336">
        <v>4193</v>
      </c>
      <c r="D27" s="336">
        <v>4349</v>
      </c>
      <c r="E27" s="336">
        <v>4372</v>
      </c>
      <c r="F27" s="336">
        <v>4430</v>
      </c>
      <c r="G27" s="336">
        <v>5188</v>
      </c>
      <c r="H27" s="336">
        <v>5755</v>
      </c>
    </row>
    <row r="28" spans="2:8">
      <c r="B28" s="325" t="s">
        <v>40</v>
      </c>
      <c r="C28" s="336">
        <v>2737</v>
      </c>
      <c r="D28" s="336">
        <v>2339</v>
      </c>
      <c r="E28" s="336">
        <v>1676</v>
      </c>
      <c r="F28" s="336">
        <v>1112</v>
      </c>
      <c r="G28" s="336">
        <v>807</v>
      </c>
      <c r="H28" s="336">
        <v>755</v>
      </c>
    </row>
    <row r="29" spans="2:8">
      <c r="B29" s="325" t="s">
        <v>41</v>
      </c>
      <c r="C29" s="336">
        <v>806</v>
      </c>
      <c r="D29" s="336">
        <v>1222</v>
      </c>
      <c r="E29" s="336">
        <v>3396</v>
      </c>
      <c r="F29" s="336">
        <v>6081</v>
      </c>
      <c r="G29" s="336">
        <v>10979</v>
      </c>
      <c r="H29" s="336">
        <v>13570</v>
      </c>
    </row>
    <row r="30" spans="2:8">
      <c r="B30" s="325" t="s">
        <v>11</v>
      </c>
      <c r="C30" s="336">
        <v>2000</v>
      </c>
      <c r="D30" s="336">
        <v>3575</v>
      </c>
      <c r="E30" s="336">
        <v>3521</v>
      </c>
      <c r="F30" s="336">
        <v>3179</v>
      </c>
      <c r="G30" s="336">
        <v>3038</v>
      </c>
      <c r="H30" s="336">
        <v>3417</v>
      </c>
    </row>
    <row r="31" spans="2:8">
      <c r="B31" s="335" t="s">
        <v>12</v>
      </c>
      <c r="C31" s="339">
        <v>28791</v>
      </c>
      <c r="D31" s="339">
        <v>44187</v>
      </c>
      <c r="E31" s="339">
        <v>41182</v>
      </c>
      <c r="F31" s="339">
        <v>65728</v>
      </c>
      <c r="G31" s="339">
        <v>111601</v>
      </c>
      <c r="H31" s="339">
        <v>140740</v>
      </c>
    </row>
    <row r="32" spans="2:8">
      <c r="B32" s="325"/>
      <c r="C32" s="325"/>
      <c r="D32" s="325"/>
      <c r="E32" s="325"/>
      <c r="F32" s="325"/>
      <c r="G32" s="325"/>
      <c r="H32" s="325"/>
    </row>
    <row r="33" spans="2:8">
      <c r="B33" s="335" t="s">
        <v>42</v>
      </c>
      <c r="C33" s="325"/>
      <c r="D33" s="325"/>
      <c r="E33" s="325"/>
      <c r="F33" s="325"/>
      <c r="G33" s="325"/>
      <c r="H33" s="325"/>
    </row>
    <row r="34" spans="2:8">
      <c r="B34" s="325" t="s">
        <v>43</v>
      </c>
      <c r="C34" s="336">
        <v>1149</v>
      </c>
      <c r="D34" s="336">
        <v>1783</v>
      </c>
      <c r="E34" s="336">
        <v>1193</v>
      </c>
      <c r="F34" s="336">
        <v>2699</v>
      </c>
      <c r="G34" s="336">
        <v>6310</v>
      </c>
      <c r="H34" s="336">
        <v>9064</v>
      </c>
    </row>
    <row r="35" spans="2:8">
      <c r="B35" s="325" t="s">
        <v>44</v>
      </c>
      <c r="C35" s="336">
        <v>297</v>
      </c>
      <c r="D35" s="336">
        <v>409</v>
      </c>
      <c r="E35" s="336">
        <v>530</v>
      </c>
      <c r="F35" s="336">
        <v>675</v>
      </c>
      <c r="G35" s="336">
        <v>848</v>
      </c>
      <c r="H35" s="336">
        <v>4381</v>
      </c>
    </row>
    <row r="36" spans="2:8">
      <c r="B36" s="325" t="s">
        <v>45</v>
      </c>
      <c r="C36" s="336">
        <v>999</v>
      </c>
      <c r="D36" s="336" t="s">
        <v>15</v>
      </c>
      <c r="E36" s="336">
        <v>1250</v>
      </c>
      <c r="F36" s="336">
        <v>1250</v>
      </c>
      <c r="G36" s="336" t="s">
        <v>15</v>
      </c>
      <c r="H36" s="336" t="s">
        <v>15</v>
      </c>
    </row>
    <row r="37" spans="2:8">
      <c r="B37" s="325" t="s">
        <v>46</v>
      </c>
      <c r="C37" s="336" t="s">
        <v>15</v>
      </c>
      <c r="D37" s="336">
        <v>144</v>
      </c>
      <c r="E37" s="336">
        <v>176</v>
      </c>
      <c r="F37" s="336">
        <v>228</v>
      </c>
      <c r="G37" s="336">
        <v>288</v>
      </c>
      <c r="H37" s="336">
        <v>301</v>
      </c>
    </row>
    <row r="38" spans="2:8">
      <c r="B38" s="325" t="s">
        <v>47</v>
      </c>
      <c r="C38" s="336" t="s">
        <v>15</v>
      </c>
      <c r="D38" s="336">
        <v>132</v>
      </c>
      <c r="E38" s="336">
        <v>467</v>
      </c>
      <c r="F38" s="336">
        <v>296</v>
      </c>
      <c r="G38" s="336">
        <v>881</v>
      </c>
      <c r="H38" s="336">
        <v>1910</v>
      </c>
    </row>
    <row r="39" spans="2:8">
      <c r="B39" s="325" t="s">
        <v>48</v>
      </c>
      <c r="C39" s="336">
        <v>288</v>
      </c>
      <c r="D39" s="336">
        <v>300</v>
      </c>
      <c r="E39" s="336">
        <v>354</v>
      </c>
      <c r="F39" s="336">
        <v>764</v>
      </c>
      <c r="G39" s="336">
        <v>837</v>
      </c>
      <c r="H39" s="336">
        <v>980</v>
      </c>
    </row>
    <row r="40" spans="2:8">
      <c r="B40" s="325" t="s">
        <v>49</v>
      </c>
      <c r="C40" s="336">
        <v>1192</v>
      </c>
      <c r="D40" s="336">
        <v>1567</v>
      </c>
      <c r="E40" s="336">
        <v>2593</v>
      </c>
      <c r="F40" s="336">
        <v>4719</v>
      </c>
      <c r="G40" s="336">
        <v>8883</v>
      </c>
      <c r="H40" s="336">
        <v>7621</v>
      </c>
    </row>
    <row r="41" spans="2:8">
      <c r="B41" s="335" t="s">
        <v>50</v>
      </c>
      <c r="C41" s="337">
        <v>3925</v>
      </c>
      <c r="D41" s="337">
        <v>4335</v>
      </c>
      <c r="E41" s="337">
        <v>6563</v>
      </c>
      <c r="F41" s="337">
        <v>10631</v>
      </c>
      <c r="G41" s="337">
        <v>18047</v>
      </c>
      <c r="H41" s="337">
        <v>24257</v>
      </c>
    </row>
    <row r="42" spans="2:8">
      <c r="B42" s="325"/>
      <c r="C42" s="325"/>
      <c r="D42" s="325"/>
      <c r="E42" s="325"/>
      <c r="F42" s="325"/>
      <c r="G42" s="325"/>
      <c r="H42" s="325"/>
    </row>
    <row r="43" spans="2:8">
      <c r="B43" s="325" t="s">
        <v>51</v>
      </c>
      <c r="C43" s="336">
        <v>5964</v>
      </c>
      <c r="D43" s="336">
        <v>10946</v>
      </c>
      <c r="E43" s="336">
        <v>9703</v>
      </c>
      <c r="F43" s="336">
        <v>8459</v>
      </c>
      <c r="G43" s="336">
        <v>8463</v>
      </c>
      <c r="H43" s="336">
        <v>8466</v>
      </c>
    </row>
    <row r="44" spans="2:8">
      <c r="B44" s="325" t="s">
        <v>52</v>
      </c>
      <c r="C44" s="336">
        <v>634</v>
      </c>
      <c r="D44" s="336">
        <v>741</v>
      </c>
      <c r="E44" s="336">
        <v>902</v>
      </c>
      <c r="F44" s="336">
        <v>1119</v>
      </c>
      <c r="G44" s="336">
        <v>1519</v>
      </c>
      <c r="H44" s="336">
        <v>1831</v>
      </c>
    </row>
    <row r="45" spans="2:8">
      <c r="B45" s="325" t="s">
        <v>53</v>
      </c>
      <c r="C45" s="336">
        <v>163</v>
      </c>
      <c r="D45" s="336">
        <v>202</v>
      </c>
      <c r="E45" s="336">
        <v>218</v>
      </c>
      <c r="F45" s="336">
        <v>573</v>
      </c>
      <c r="G45" s="336">
        <v>976</v>
      </c>
      <c r="H45" s="336">
        <v>1055</v>
      </c>
    </row>
    <row r="46" spans="2:8">
      <c r="B46" s="325" t="s">
        <v>54</v>
      </c>
      <c r="C46" s="336" t="s">
        <v>15</v>
      </c>
      <c r="D46" s="336" t="s">
        <v>15</v>
      </c>
      <c r="E46" s="336" t="s">
        <v>15</v>
      </c>
      <c r="F46" s="336" t="s">
        <v>15</v>
      </c>
      <c r="G46" s="336" t="s">
        <v>15</v>
      </c>
      <c r="H46" s="336" t="s">
        <v>15</v>
      </c>
    </row>
    <row r="47" spans="2:8">
      <c r="B47" s="325" t="s">
        <v>55</v>
      </c>
      <c r="C47" s="336">
        <v>241</v>
      </c>
      <c r="D47" s="336">
        <v>245</v>
      </c>
      <c r="E47" s="336">
        <v>247</v>
      </c>
      <c r="F47" s="336">
        <v>462</v>
      </c>
      <c r="G47" s="336">
        <v>886</v>
      </c>
      <c r="H47" s="336">
        <v>1351</v>
      </c>
    </row>
    <row r="48" spans="2:8">
      <c r="B48" s="325" t="s">
        <v>13</v>
      </c>
      <c r="C48" s="336">
        <v>971</v>
      </c>
      <c r="D48" s="336">
        <v>1106</v>
      </c>
      <c r="E48" s="336">
        <v>1448</v>
      </c>
      <c r="F48" s="336">
        <v>1506</v>
      </c>
      <c r="G48" s="336">
        <v>2383</v>
      </c>
      <c r="H48" s="336">
        <v>3649</v>
      </c>
    </row>
    <row r="49" spans="2:8">
      <c r="B49" s="335" t="s">
        <v>14</v>
      </c>
      <c r="C49" s="337">
        <v>11898</v>
      </c>
      <c r="D49" s="337">
        <v>17575</v>
      </c>
      <c r="E49" s="337">
        <v>19081</v>
      </c>
      <c r="F49" s="337">
        <v>22750</v>
      </c>
      <c r="G49" s="337">
        <v>32274</v>
      </c>
      <c r="H49" s="337">
        <v>40609</v>
      </c>
    </row>
    <row r="50" spans="2:8">
      <c r="B50" s="325"/>
      <c r="C50" s="325"/>
      <c r="D50" s="325"/>
      <c r="E50" s="325"/>
      <c r="F50" s="325"/>
      <c r="G50" s="325"/>
      <c r="H50" s="325"/>
    </row>
    <row r="51" spans="2:8">
      <c r="B51" s="325" t="s">
        <v>56</v>
      </c>
      <c r="C51" s="336">
        <v>3</v>
      </c>
      <c r="D51" s="336">
        <v>3</v>
      </c>
      <c r="E51" s="336">
        <v>2</v>
      </c>
      <c r="F51" s="336">
        <v>25</v>
      </c>
      <c r="G51" s="336">
        <v>24</v>
      </c>
      <c r="H51" s="336">
        <v>24</v>
      </c>
    </row>
    <row r="52" spans="2:8">
      <c r="B52" s="325" t="s">
        <v>57</v>
      </c>
      <c r="C52" s="336">
        <v>8719</v>
      </c>
      <c r="D52" s="336">
        <v>10385</v>
      </c>
      <c r="E52" s="336">
        <v>11971</v>
      </c>
      <c r="F52" s="336">
        <v>13109</v>
      </c>
      <c r="G52" s="336">
        <v>11237</v>
      </c>
      <c r="H52" s="336">
        <v>11200</v>
      </c>
    </row>
    <row r="53" spans="2:8">
      <c r="B53" s="325" t="s">
        <v>58</v>
      </c>
      <c r="C53" s="336">
        <v>18908</v>
      </c>
      <c r="D53" s="336">
        <v>16235</v>
      </c>
      <c r="E53" s="336">
        <v>10171</v>
      </c>
      <c r="F53" s="336">
        <v>29817</v>
      </c>
      <c r="G53" s="336">
        <v>68038</v>
      </c>
      <c r="H53" s="336">
        <v>88737</v>
      </c>
    </row>
    <row r="54" spans="2:8">
      <c r="B54" s="325" t="s">
        <v>59</v>
      </c>
      <c r="C54" s="336">
        <v>-10756</v>
      </c>
      <c r="D54" s="336" t="s">
        <v>15</v>
      </c>
      <c r="E54" s="336" t="s">
        <v>15</v>
      </c>
      <c r="F54" s="336" t="s">
        <v>15</v>
      </c>
      <c r="G54" s="336" t="s">
        <v>15</v>
      </c>
      <c r="H54" s="336" t="s">
        <v>15</v>
      </c>
    </row>
    <row r="55" spans="2:8">
      <c r="B55" s="325" t="s">
        <v>60</v>
      </c>
      <c r="C55" s="336">
        <v>19</v>
      </c>
      <c r="D55" s="336">
        <v>-11</v>
      </c>
      <c r="E55" s="336">
        <v>-43</v>
      </c>
      <c r="F55" s="336">
        <v>27</v>
      </c>
      <c r="G55" s="336">
        <v>28</v>
      </c>
      <c r="H55" s="336">
        <v>170</v>
      </c>
    </row>
    <row r="56" spans="2:8">
      <c r="B56" s="335" t="s">
        <v>61</v>
      </c>
      <c r="C56" s="337">
        <v>16893</v>
      </c>
      <c r="D56" s="337">
        <v>26612</v>
      </c>
      <c r="E56" s="337">
        <v>22101</v>
      </c>
      <c r="F56" s="337">
        <v>42978</v>
      </c>
      <c r="G56" s="337">
        <v>79327</v>
      </c>
      <c r="H56" s="337">
        <v>100131</v>
      </c>
    </row>
    <row r="57" spans="2:8">
      <c r="B57" s="325"/>
      <c r="C57" s="325"/>
      <c r="D57" s="325"/>
      <c r="E57" s="325"/>
      <c r="F57" s="325"/>
      <c r="G57" s="325"/>
      <c r="H57" s="325"/>
    </row>
    <row r="58" spans="2:8">
      <c r="B58" s="335" t="s">
        <v>62</v>
      </c>
      <c r="C58" s="349">
        <v>16893</v>
      </c>
      <c r="D58" s="349">
        <v>26612</v>
      </c>
      <c r="E58" s="349">
        <v>22101</v>
      </c>
      <c r="F58" s="349">
        <v>42978</v>
      </c>
      <c r="G58" s="349">
        <v>79327</v>
      </c>
      <c r="H58" s="349">
        <v>100131</v>
      </c>
    </row>
    <row r="59" spans="2:8">
      <c r="B59" s="325"/>
      <c r="C59" s="325"/>
      <c r="D59" s="325"/>
      <c r="E59" s="325"/>
      <c r="F59" s="325"/>
      <c r="G59" s="325"/>
      <c r="H59" s="325"/>
    </row>
    <row r="60" spans="2:8">
      <c r="B60" s="335" t="s">
        <v>63</v>
      </c>
      <c r="C60" s="350">
        <v>28791</v>
      </c>
      <c r="D60" s="350">
        <v>44187</v>
      </c>
      <c r="E60" s="350">
        <v>41182</v>
      </c>
      <c r="F60" s="350">
        <v>65728</v>
      </c>
      <c r="G60" s="350">
        <v>111601</v>
      </c>
      <c r="H60" s="350">
        <v>140740</v>
      </c>
    </row>
    <row r="61" spans="2:8">
      <c r="B61" s="325"/>
      <c r="C61" s="325"/>
      <c r="D61" s="325"/>
      <c r="E61" s="325"/>
      <c r="F61" s="325"/>
      <c r="G61" s="325"/>
      <c r="H61" s="325"/>
    </row>
    <row r="62" spans="2:8">
      <c r="B62" s="335" t="s">
        <v>170</v>
      </c>
      <c r="C62" s="325"/>
      <c r="D62" s="325"/>
      <c r="E62" s="325"/>
      <c r="F62" s="325"/>
      <c r="G62" s="325"/>
      <c r="H62" s="325"/>
    </row>
    <row r="63" spans="2:8">
      <c r="B63" s="325" t="s">
        <v>202</v>
      </c>
      <c r="C63" s="336">
        <v>24800</v>
      </c>
      <c r="D63" s="336">
        <v>25060</v>
      </c>
      <c r="E63" s="336">
        <v>24700</v>
      </c>
      <c r="F63" s="336">
        <v>25000</v>
      </c>
      <c r="G63" s="336">
        <v>24400</v>
      </c>
      <c r="H63" s="336">
        <v>24300</v>
      </c>
    </row>
    <row r="64" spans="2:8">
      <c r="B64" s="325" t="s">
        <v>203</v>
      </c>
      <c r="C64" s="336">
        <v>24800</v>
      </c>
      <c r="D64" s="336">
        <v>25060</v>
      </c>
      <c r="E64" s="336">
        <v>24660</v>
      </c>
      <c r="F64" s="336">
        <v>24640</v>
      </c>
      <c r="G64" s="336">
        <v>24477</v>
      </c>
      <c r="H64" s="336">
        <v>24347</v>
      </c>
    </row>
    <row r="65" spans="2:8">
      <c r="B65" s="325" t="s">
        <v>204</v>
      </c>
      <c r="C65" s="340">
        <v>0.68</v>
      </c>
      <c r="D65" s="340">
        <v>1.06</v>
      </c>
      <c r="E65" s="340">
        <v>0.9</v>
      </c>
      <c r="F65" s="340">
        <v>1.74</v>
      </c>
      <c r="G65" s="340">
        <v>3.24</v>
      </c>
      <c r="H65" s="340">
        <v>4.1100000000000003</v>
      </c>
    </row>
    <row r="66" spans="2:8">
      <c r="B66" s="325" t="s">
        <v>205</v>
      </c>
      <c r="C66" s="336">
        <v>9963</v>
      </c>
      <c r="D66" s="336">
        <v>19924</v>
      </c>
      <c r="E66" s="336">
        <v>16053</v>
      </c>
      <c r="F66" s="336">
        <v>37436</v>
      </c>
      <c r="G66" s="336">
        <v>73332</v>
      </c>
      <c r="H66" s="336">
        <v>93621</v>
      </c>
    </row>
    <row r="67" spans="2:8">
      <c r="B67" s="325" t="s">
        <v>206</v>
      </c>
      <c r="C67" s="340">
        <v>0.4</v>
      </c>
      <c r="D67" s="340">
        <v>0.8</v>
      </c>
      <c r="E67" s="340">
        <v>0.65</v>
      </c>
      <c r="F67" s="340">
        <v>1.52</v>
      </c>
      <c r="G67" s="340">
        <v>3</v>
      </c>
      <c r="H67" s="340">
        <v>3.85</v>
      </c>
    </row>
    <row r="68" spans="2:8">
      <c r="B68" s="325" t="s">
        <v>109</v>
      </c>
      <c r="C68" s="336">
        <v>7597</v>
      </c>
      <c r="D68" s="336">
        <v>11831</v>
      </c>
      <c r="E68" s="336">
        <v>12031</v>
      </c>
      <c r="F68" s="336">
        <v>11056</v>
      </c>
      <c r="G68" s="336">
        <v>10270</v>
      </c>
      <c r="H68" s="336">
        <v>10598</v>
      </c>
    </row>
    <row r="69" spans="2:8">
      <c r="B69" s="325" t="s">
        <v>207</v>
      </c>
      <c r="C69" s="336">
        <v>-3964</v>
      </c>
      <c r="D69" s="336">
        <v>-9377</v>
      </c>
      <c r="E69" s="336">
        <v>-1265</v>
      </c>
      <c r="F69" s="336">
        <v>-14928</v>
      </c>
      <c r="G69" s="336">
        <v>-32940</v>
      </c>
      <c r="H69" s="336">
        <v>-46193</v>
      </c>
    </row>
    <row r="70" spans="2:8">
      <c r="B70" s="325" t="s">
        <v>208</v>
      </c>
      <c r="C70" s="336">
        <v>1160</v>
      </c>
      <c r="D70" s="336">
        <v>1344</v>
      </c>
      <c r="E70" s="336">
        <v>1544</v>
      </c>
      <c r="F70" s="336">
        <v>2152</v>
      </c>
      <c r="G70" s="336">
        <v>2848</v>
      </c>
      <c r="H70" s="336" t="s">
        <v>159</v>
      </c>
    </row>
    <row r="71" spans="2:8">
      <c r="B71" s="325" t="s">
        <v>209</v>
      </c>
      <c r="C71" s="345" t="s">
        <v>159</v>
      </c>
      <c r="D71" s="345" t="s">
        <v>159</v>
      </c>
      <c r="E71" s="345" t="s">
        <v>159</v>
      </c>
      <c r="F71" s="345" t="s">
        <v>159</v>
      </c>
      <c r="G71" s="345" t="s">
        <v>159</v>
      </c>
      <c r="H71" s="345" t="s">
        <v>159</v>
      </c>
    </row>
    <row r="72" spans="2:8">
      <c r="B72" s="325" t="s">
        <v>210</v>
      </c>
      <c r="C72" s="336">
        <v>632</v>
      </c>
      <c r="D72" s="336">
        <v>791</v>
      </c>
      <c r="E72" s="336">
        <v>2430</v>
      </c>
      <c r="F72" s="336">
        <v>1719</v>
      </c>
      <c r="G72" s="336">
        <v>3408</v>
      </c>
      <c r="H72" s="336">
        <v>1843</v>
      </c>
    </row>
    <row r="73" spans="2:8">
      <c r="B73" s="325" t="s">
        <v>211</v>
      </c>
      <c r="C73" s="336">
        <v>457</v>
      </c>
      <c r="D73" s="336">
        <v>692</v>
      </c>
      <c r="E73" s="336">
        <v>466</v>
      </c>
      <c r="F73" s="336">
        <v>1505</v>
      </c>
      <c r="G73" s="336">
        <v>3399</v>
      </c>
      <c r="H73" s="336">
        <v>4411</v>
      </c>
    </row>
    <row r="74" spans="2:8">
      <c r="B74" s="325" t="s">
        <v>212</v>
      </c>
      <c r="C74" s="336">
        <v>737</v>
      </c>
      <c r="D74" s="336">
        <v>1122</v>
      </c>
      <c r="E74" s="336">
        <v>2263</v>
      </c>
      <c r="F74" s="336">
        <v>2058</v>
      </c>
      <c r="G74" s="336">
        <v>3273</v>
      </c>
      <c r="H74" s="336">
        <v>8708</v>
      </c>
    </row>
    <row r="75" spans="2:8">
      <c r="B75" s="325" t="s">
        <v>213</v>
      </c>
      <c r="C75" s="336">
        <v>218</v>
      </c>
      <c r="D75" s="336">
        <v>218</v>
      </c>
      <c r="E75" s="336">
        <v>218</v>
      </c>
      <c r="F75" s="336">
        <v>218</v>
      </c>
      <c r="G75" s="336">
        <v>511</v>
      </c>
      <c r="H75" s="336" t="s">
        <v>159</v>
      </c>
    </row>
    <row r="76" spans="2:8">
      <c r="B76" s="325" t="s">
        <v>214</v>
      </c>
      <c r="C76" s="336">
        <v>796</v>
      </c>
      <c r="D76" s="336">
        <v>874</v>
      </c>
      <c r="E76" s="336">
        <v>1598</v>
      </c>
      <c r="F76" s="336">
        <v>1816</v>
      </c>
      <c r="G76" s="336">
        <v>2076</v>
      </c>
      <c r="H76" s="336" t="s">
        <v>159</v>
      </c>
    </row>
    <row r="77" spans="2:8">
      <c r="B77" s="325" t="s">
        <v>215</v>
      </c>
      <c r="C77" s="336">
        <v>1985</v>
      </c>
      <c r="D77" s="336">
        <v>2852</v>
      </c>
      <c r="E77" s="336">
        <v>4303</v>
      </c>
      <c r="F77" s="336">
        <v>5200</v>
      </c>
      <c r="G77" s="336">
        <v>7568</v>
      </c>
      <c r="H77" s="336" t="s">
        <v>159</v>
      </c>
    </row>
    <row r="78" spans="2:8">
      <c r="B78" s="325" t="s">
        <v>216</v>
      </c>
      <c r="C78" s="336">
        <v>558</v>
      </c>
      <c r="D78" s="336">
        <v>737</v>
      </c>
      <c r="E78" s="336">
        <v>382</v>
      </c>
      <c r="F78" s="336">
        <v>189</v>
      </c>
      <c r="G78" s="336">
        <v>529</v>
      </c>
      <c r="H78" s="336" t="s">
        <v>15</v>
      </c>
    </row>
    <row r="79" spans="2:8">
      <c r="B79" s="325" t="s">
        <v>217</v>
      </c>
      <c r="C79" s="336" t="s">
        <v>15</v>
      </c>
      <c r="D79" s="336" t="s">
        <v>15</v>
      </c>
      <c r="E79" s="336" t="s">
        <v>15</v>
      </c>
      <c r="F79" s="336" t="s">
        <v>15</v>
      </c>
      <c r="G79" s="336" t="s">
        <v>15</v>
      </c>
      <c r="H79" s="336" t="s">
        <v>15</v>
      </c>
    </row>
    <row r="80" spans="2:8">
      <c r="B80" s="325" t="s">
        <v>218</v>
      </c>
      <c r="C80" s="351">
        <v>18975</v>
      </c>
      <c r="D80" s="351">
        <v>22473</v>
      </c>
      <c r="E80" s="351">
        <v>26196</v>
      </c>
      <c r="F80" s="351">
        <v>29600</v>
      </c>
      <c r="G80" s="351">
        <v>36000</v>
      </c>
      <c r="H80" s="351" t="s">
        <v>159</v>
      </c>
    </row>
    <row r="81" spans="2:8">
      <c r="B81" s="325" t="s">
        <v>219</v>
      </c>
      <c r="C81" s="336" t="s">
        <v>159</v>
      </c>
      <c r="D81" s="336" t="s">
        <v>159</v>
      </c>
      <c r="E81" s="336" t="s">
        <v>159</v>
      </c>
      <c r="F81" s="336" t="s">
        <v>159</v>
      </c>
      <c r="G81" s="336" t="s">
        <v>159</v>
      </c>
      <c r="H81" s="336" t="s">
        <v>159</v>
      </c>
    </row>
    <row r="82" spans="2:8">
      <c r="B82" s="325" t="s">
        <v>220</v>
      </c>
      <c r="C82" s="336">
        <v>4</v>
      </c>
      <c r="D82" s="336">
        <v>4</v>
      </c>
      <c r="E82" s="336">
        <v>4</v>
      </c>
      <c r="F82" s="336">
        <v>4</v>
      </c>
      <c r="G82" s="336">
        <v>4</v>
      </c>
      <c r="H82" s="336" t="s">
        <v>159</v>
      </c>
    </row>
    <row r="83" spans="2:8">
      <c r="B83" s="325" t="s">
        <v>183</v>
      </c>
      <c r="C83" s="344">
        <v>44981</v>
      </c>
      <c r="D83" s="344">
        <v>45343</v>
      </c>
      <c r="E83" s="344">
        <v>45714</v>
      </c>
      <c r="F83" s="344">
        <v>45714</v>
      </c>
      <c r="G83" s="344">
        <v>45714</v>
      </c>
      <c r="H83" s="344">
        <v>45896</v>
      </c>
    </row>
    <row r="84" spans="2:8">
      <c r="B84" s="325" t="s">
        <v>184</v>
      </c>
      <c r="C84" s="345" t="s">
        <v>185</v>
      </c>
      <c r="D84" s="345" t="s">
        <v>185</v>
      </c>
      <c r="E84" s="345" t="s">
        <v>185</v>
      </c>
      <c r="F84" s="345" t="s">
        <v>185</v>
      </c>
      <c r="G84" s="345" t="s">
        <v>186</v>
      </c>
      <c r="H84" s="345" t="s">
        <v>186</v>
      </c>
    </row>
    <row r="85" spans="2:8">
      <c r="B85" s="325" t="s">
        <v>187</v>
      </c>
      <c r="C85" s="345" t="s">
        <v>221</v>
      </c>
      <c r="D85" s="345" t="s">
        <v>221</v>
      </c>
      <c r="E85" s="345" t="s">
        <v>221</v>
      </c>
      <c r="F85" s="345" t="s">
        <v>188</v>
      </c>
      <c r="G85" s="345" t="s">
        <v>188</v>
      </c>
      <c r="H85" s="345" t="s">
        <v>188</v>
      </c>
    </row>
    <row r="86" spans="2:8">
      <c r="B86" s="325"/>
      <c r="C86" s="325"/>
      <c r="D86" s="325"/>
      <c r="E86" s="325"/>
      <c r="F86" s="325"/>
      <c r="G86" s="325"/>
      <c r="H86" s="325"/>
    </row>
    <row r="87" spans="2:8">
      <c r="B87" s="346"/>
      <c r="C87" s="346"/>
      <c r="D87" s="346"/>
      <c r="E87" s="346"/>
      <c r="F87" s="346"/>
      <c r="G87" s="346"/>
      <c r="H87" s="346"/>
    </row>
    <row r="88" spans="2:8">
      <c r="B88" s="47" t="s">
        <v>222</v>
      </c>
      <c r="C88" s="47"/>
      <c r="D88" s="47"/>
      <c r="E88" s="47"/>
      <c r="F88" s="47"/>
      <c r="G88" s="47"/>
      <c r="H88" s="47"/>
    </row>
    <row r="89" spans="2:8">
      <c r="B89" s="347" t="s">
        <v>201</v>
      </c>
      <c r="C89" s="47"/>
      <c r="D89" s="47"/>
      <c r="E89" s="47"/>
      <c r="F89" s="47"/>
      <c r="G89" s="47"/>
      <c r="H89" s="47"/>
    </row>
    <row r="90" spans="2:8">
      <c r="B90" s="348" t="s">
        <v>239</v>
      </c>
      <c r="C90" s="47"/>
      <c r="D90" s="47"/>
      <c r="E90" s="47"/>
      <c r="F90" s="47"/>
      <c r="G90" s="47"/>
      <c r="H90" s="47"/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E7A3-A917-4CD9-AE2E-31DBBBA4CF8E}">
  <dimension ref="B1:IN67"/>
  <sheetViews>
    <sheetView showGridLines="0" topLeftCell="A40" workbookViewId="0">
      <selection activeCell="C59" sqref="C59:G59"/>
    </sheetView>
  </sheetViews>
  <sheetFormatPr defaultRowHeight="17.600000000000001"/>
  <cols>
    <col min="1" max="1" width="3.61328125" style="8" customWidth="1"/>
    <col min="2" max="2" width="34.61328125" style="8" customWidth="1"/>
    <col min="3" max="8" width="14.84375" style="8" customWidth="1"/>
    <col min="9" max="249" width="9.23046875" style="8"/>
    <col min="250" max="250" width="45.84375" style="8" customWidth="1"/>
    <col min="251" max="264" width="14.84375" style="8" customWidth="1"/>
    <col min="265" max="505" width="9.23046875" style="8"/>
    <col min="506" max="506" width="45.84375" style="8" customWidth="1"/>
    <col min="507" max="520" width="14.84375" style="8" customWidth="1"/>
    <col min="521" max="761" width="9.23046875" style="8"/>
    <col min="762" max="762" width="45.84375" style="8" customWidth="1"/>
    <col min="763" max="776" width="14.84375" style="8" customWidth="1"/>
    <col min="777" max="1017" width="9.23046875" style="8"/>
    <col min="1018" max="1018" width="45.84375" style="8" customWidth="1"/>
    <col min="1019" max="1032" width="14.84375" style="8" customWidth="1"/>
    <col min="1033" max="1273" width="9.23046875" style="8"/>
    <col min="1274" max="1274" width="45.84375" style="8" customWidth="1"/>
    <col min="1275" max="1288" width="14.84375" style="8" customWidth="1"/>
    <col min="1289" max="1529" width="9.23046875" style="8"/>
    <col min="1530" max="1530" width="45.84375" style="8" customWidth="1"/>
    <col min="1531" max="1544" width="14.84375" style="8" customWidth="1"/>
    <col min="1545" max="1785" width="9.23046875" style="8"/>
    <col min="1786" max="1786" width="45.84375" style="8" customWidth="1"/>
    <col min="1787" max="1800" width="14.84375" style="8" customWidth="1"/>
    <col min="1801" max="2041" width="9.23046875" style="8"/>
    <col min="2042" max="2042" width="45.84375" style="8" customWidth="1"/>
    <col min="2043" max="2056" width="14.84375" style="8" customWidth="1"/>
    <col min="2057" max="2297" width="9.23046875" style="8"/>
    <col min="2298" max="2298" width="45.84375" style="8" customWidth="1"/>
    <col min="2299" max="2312" width="14.84375" style="8" customWidth="1"/>
    <col min="2313" max="2553" width="9.23046875" style="8"/>
    <col min="2554" max="2554" width="45.84375" style="8" customWidth="1"/>
    <col min="2555" max="2568" width="14.84375" style="8" customWidth="1"/>
    <col min="2569" max="2809" width="9.23046875" style="8"/>
    <col min="2810" max="2810" width="45.84375" style="8" customWidth="1"/>
    <col min="2811" max="2824" width="14.84375" style="8" customWidth="1"/>
    <col min="2825" max="3065" width="9.23046875" style="8"/>
    <col min="3066" max="3066" width="45.84375" style="8" customWidth="1"/>
    <col min="3067" max="3080" width="14.84375" style="8" customWidth="1"/>
    <col min="3081" max="3321" width="9.23046875" style="8"/>
    <col min="3322" max="3322" width="45.84375" style="8" customWidth="1"/>
    <col min="3323" max="3336" width="14.84375" style="8" customWidth="1"/>
    <col min="3337" max="3577" width="9.23046875" style="8"/>
    <col min="3578" max="3578" width="45.84375" style="8" customWidth="1"/>
    <col min="3579" max="3592" width="14.84375" style="8" customWidth="1"/>
    <col min="3593" max="3833" width="9.23046875" style="8"/>
    <col min="3834" max="3834" width="45.84375" style="8" customWidth="1"/>
    <col min="3835" max="3848" width="14.84375" style="8" customWidth="1"/>
    <col min="3849" max="4089" width="9.23046875" style="8"/>
    <col min="4090" max="4090" width="45.84375" style="8" customWidth="1"/>
    <col min="4091" max="4104" width="14.84375" style="8" customWidth="1"/>
    <col min="4105" max="4345" width="9.23046875" style="8"/>
    <col min="4346" max="4346" width="45.84375" style="8" customWidth="1"/>
    <col min="4347" max="4360" width="14.84375" style="8" customWidth="1"/>
    <col min="4361" max="4601" width="9.23046875" style="8"/>
    <col min="4602" max="4602" width="45.84375" style="8" customWidth="1"/>
    <col min="4603" max="4616" width="14.84375" style="8" customWidth="1"/>
    <col min="4617" max="4857" width="9.23046875" style="8"/>
    <col min="4858" max="4858" width="45.84375" style="8" customWidth="1"/>
    <col min="4859" max="4872" width="14.84375" style="8" customWidth="1"/>
    <col min="4873" max="5113" width="9.23046875" style="8"/>
    <col min="5114" max="5114" width="45.84375" style="8" customWidth="1"/>
    <col min="5115" max="5128" width="14.84375" style="8" customWidth="1"/>
    <col min="5129" max="5369" width="9.23046875" style="8"/>
    <col min="5370" max="5370" width="45.84375" style="8" customWidth="1"/>
    <col min="5371" max="5384" width="14.84375" style="8" customWidth="1"/>
    <col min="5385" max="5625" width="9.23046875" style="8"/>
    <col min="5626" max="5626" width="45.84375" style="8" customWidth="1"/>
    <col min="5627" max="5640" width="14.84375" style="8" customWidth="1"/>
    <col min="5641" max="5881" width="9.23046875" style="8"/>
    <col min="5882" max="5882" width="45.84375" style="8" customWidth="1"/>
    <col min="5883" max="5896" width="14.84375" style="8" customWidth="1"/>
    <col min="5897" max="6137" width="9.23046875" style="8"/>
    <col min="6138" max="6138" width="45.84375" style="8" customWidth="1"/>
    <col min="6139" max="6152" width="14.84375" style="8" customWidth="1"/>
    <col min="6153" max="6393" width="9.23046875" style="8"/>
    <col min="6394" max="6394" width="45.84375" style="8" customWidth="1"/>
    <col min="6395" max="6408" width="14.84375" style="8" customWidth="1"/>
    <col min="6409" max="6649" width="9.23046875" style="8"/>
    <col min="6650" max="6650" width="45.84375" style="8" customWidth="1"/>
    <col min="6651" max="6664" width="14.84375" style="8" customWidth="1"/>
    <col min="6665" max="6905" width="9.23046875" style="8"/>
    <col min="6906" max="6906" width="45.84375" style="8" customWidth="1"/>
    <col min="6907" max="6920" width="14.84375" style="8" customWidth="1"/>
    <col min="6921" max="7161" width="9.23046875" style="8"/>
    <col min="7162" max="7162" width="45.84375" style="8" customWidth="1"/>
    <col min="7163" max="7176" width="14.84375" style="8" customWidth="1"/>
    <col min="7177" max="7417" width="9.23046875" style="8"/>
    <col min="7418" max="7418" width="45.84375" style="8" customWidth="1"/>
    <col min="7419" max="7432" width="14.84375" style="8" customWidth="1"/>
    <col min="7433" max="7673" width="9.23046875" style="8"/>
    <col min="7674" max="7674" width="45.84375" style="8" customWidth="1"/>
    <col min="7675" max="7688" width="14.84375" style="8" customWidth="1"/>
    <col min="7689" max="7929" width="9.23046875" style="8"/>
    <col min="7930" max="7930" width="45.84375" style="8" customWidth="1"/>
    <col min="7931" max="7944" width="14.84375" style="8" customWidth="1"/>
    <col min="7945" max="8185" width="9.23046875" style="8"/>
    <col min="8186" max="8186" width="45.84375" style="8" customWidth="1"/>
    <col min="8187" max="8200" width="14.84375" style="8" customWidth="1"/>
    <col min="8201" max="8441" width="9.23046875" style="8"/>
    <col min="8442" max="8442" width="45.84375" style="8" customWidth="1"/>
    <col min="8443" max="8456" width="14.84375" style="8" customWidth="1"/>
    <col min="8457" max="8697" width="9.23046875" style="8"/>
    <col min="8698" max="8698" width="45.84375" style="8" customWidth="1"/>
    <col min="8699" max="8712" width="14.84375" style="8" customWidth="1"/>
    <col min="8713" max="8953" width="9.23046875" style="8"/>
    <col min="8954" max="8954" width="45.84375" style="8" customWidth="1"/>
    <col min="8955" max="8968" width="14.84375" style="8" customWidth="1"/>
    <col min="8969" max="9209" width="9.23046875" style="8"/>
    <col min="9210" max="9210" width="45.84375" style="8" customWidth="1"/>
    <col min="9211" max="9224" width="14.84375" style="8" customWidth="1"/>
    <col min="9225" max="9465" width="9.23046875" style="8"/>
    <col min="9466" max="9466" width="45.84375" style="8" customWidth="1"/>
    <col min="9467" max="9480" width="14.84375" style="8" customWidth="1"/>
    <col min="9481" max="9721" width="9.23046875" style="8"/>
    <col min="9722" max="9722" width="45.84375" style="8" customWidth="1"/>
    <col min="9723" max="9736" width="14.84375" style="8" customWidth="1"/>
    <col min="9737" max="9977" width="9.23046875" style="8"/>
    <col min="9978" max="9978" width="45.84375" style="8" customWidth="1"/>
    <col min="9979" max="9992" width="14.84375" style="8" customWidth="1"/>
    <col min="9993" max="10233" width="9.23046875" style="8"/>
    <col min="10234" max="10234" width="45.84375" style="8" customWidth="1"/>
    <col min="10235" max="10248" width="14.84375" style="8" customWidth="1"/>
    <col min="10249" max="10489" width="9.23046875" style="8"/>
    <col min="10490" max="10490" width="45.84375" style="8" customWidth="1"/>
    <col min="10491" max="10504" width="14.84375" style="8" customWidth="1"/>
    <col min="10505" max="10745" width="9.23046875" style="8"/>
    <col min="10746" max="10746" width="45.84375" style="8" customWidth="1"/>
    <col min="10747" max="10760" width="14.84375" style="8" customWidth="1"/>
    <col min="10761" max="11001" width="9.23046875" style="8"/>
    <col min="11002" max="11002" width="45.84375" style="8" customWidth="1"/>
    <col min="11003" max="11016" width="14.84375" style="8" customWidth="1"/>
    <col min="11017" max="11257" width="9.23046875" style="8"/>
    <col min="11258" max="11258" width="45.84375" style="8" customWidth="1"/>
    <col min="11259" max="11272" width="14.84375" style="8" customWidth="1"/>
    <col min="11273" max="11513" width="9.23046875" style="8"/>
    <col min="11514" max="11514" width="45.84375" style="8" customWidth="1"/>
    <col min="11515" max="11528" width="14.84375" style="8" customWidth="1"/>
    <col min="11529" max="11769" width="9.23046875" style="8"/>
    <col min="11770" max="11770" width="45.84375" style="8" customWidth="1"/>
    <col min="11771" max="11784" width="14.84375" style="8" customWidth="1"/>
    <col min="11785" max="12025" width="9.23046875" style="8"/>
    <col min="12026" max="12026" width="45.84375" style="8" customWidth="1"/>
    <col min="12027" max="12040" width="14.84375" style="8" customWidth="1"/>
    <col min="12041" max="12281" width="9.23046875" style="8"/>
    <col min="12282" max="12282" width="45.84375" style="8" customWidth="1"/>
    <col min="12283" max="12296" width="14.84375" style="8" customWidth="1"/>
    <col min="12297" max="12537" width="9.23046875" style="8"/>
    <col min="12538" max="12538" width="45.84375" style="8" customWidth="1"/>
    <col min="12539" max="12552" width="14.84375" style="8" customWidth="1"/>
    <col min="12553" max="12793" width="9.23046875" style="8"/>
    <col min="12794" max="12794" width="45.84375" style="8" customWidth="1"/>
    <col min="12795" max="12808" width="14.84375" style="8" customWidth="1"/>
    <col min="12809" max="13049" width="9.23046875" style="8"/>
    <col min="13050" max="13050" width="45.84375" style="8" customWidth="1"/>
    <col min="13051" max="13064" width="14.84375" style="8" customWidth="1"/>
    <col min="13065" max="13305" width="9.23046875" style="8"/>
    <col min="13306" max="13306" width="45.84375" style="8" customWidth="1"/>
    <col min="13307" max="13320" width="14.84375" style="8" customWidth="1"/>
    <col min="13321" max="13561" width="9.23046875" style="8"/>
    <col min="13562" max="13562" width="45.84375" style="8" customWidth="1"/>
    <col min="13563" max="13576" width="14.84375" style="8" customWidth="1"/>
    <col min="13577" max="13817" width="9.23046875" style="8"/>
    <col min="13818" max="13818" width="45.84375" style="8" customWidth="1"/>
    <col min="13819" max="13832" width="14.84375" style="8" customWidth="1"/>
    <col min="13833" max="14073" width="9.23046875" style="8"/>
    <col min="14074" max="14074" width="45.84375" style="8" customWidth="1"/>
    <col min="14075" max="14088" width="14.84375" style="8" customWidth="1"/>
    <col min="14089" max="14329" width="9.23046875" style="8"/>
    <col min="14330" max="14330" width="45.84375" style="8" customWidth="1"/>
    <col min="14331" max="14344" width="14.84375" style="8" customWidth="1"/>
    <col min="14345" max="14585" width="9.23046875" style="8"/>
    <col min="14586" max="14586" width="45.84375" style="8" customWidth="1"/>
    <col min="14587" max="14600" width="14.84375" style="8" customWidth="1"/>
    <col min="14601" max="14841" width="9.23046875" style="8"/>
    <col min="14842" max="14842" width="45.84375" style="8" customWidth="1"/>
    <col min="14843" max="14856" width="14.84375" style="8" customWidth="1"/>
    <col min="14857" max="15097" width="9.23046875" style="8"/>
    <col min="15098" max="15098" width="45.84375" style="8" customWidth="1"/>
    <col min="15099" max="15112" width="14.84375" style="8" customWidth="1"/>
    <col min="15113" max="15353" width="9.23046875" style="8"/>
    <col min="15354" max="15354" width="45.84375" style="8" customWidth="1"/>
    <col min="15355" max="15368" width="14.84375" style="8" customWidth="1"/>
    <col min="15369" max="15609" width="9.23046875" style="8"/>
    <col min="15610" max="15610" width="45.84375" style="8" customWidth="1"/>
    <col min="15611" max="15624" width="14.84375" style="8" customWidth="1"/>
    <col min="15625" max="15865" width="9.23046875" style="8"/>
    <col min="15866" max="15866" width="45.84375" style="8" customWidth="1"/>
    <col min="15867" max="15880" width="14.84375" style="8" customWidth="1"/>
    <col min="15881" max="16121" width="9.23046875" style="8"/>
    <col min="16122" max="16122" width="45.84375" style="8" customWidth="1"/>
    <col min="16123" max="16136" width="14.84375" style="8" customWidth="1"/>
    <col min="16137" max="16384" width="9.23046875" style="8"/>
  </cols>
  <sheetData>
    <row r="1" spans="2:248" s="1" customFormat="1" ht="58.85" customHeight="1">
      <c r="B1" s="2"/>
      <c r="C1" s="7" t="s">
        <v>25</v>
      </c>
      <c r="D1" s="2"/>
      <c r="E1" s="2"/>
      <c r="F1" s="2"/>
      <c r="G1" s="2"/>
      <c r="H1" s="2"/>
    </row>
    <row r="3" spans="2:248" s="11" customFormat="1" ht="24.9">
      <c r="B3" s="716" t="s">
        <v>223</v>
      </c>
      <c r="C3" s="716"/>
      <c r="D3" s="716"/>
      <c r="E3" s="716"/>
      <c r="F3" s="716"/>
      <c r="G3" s="716"/>
      <c r="H3" s="716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</row>
    <row r="4" spans="2:248" s="11" customFormat="1" ht="24.9">
      <c r="B4" s="327"/>
      <c r="C4" s="327"/>
      <c r="D4" s="327"/>
      <c r="E4" s="327"/>
      <c r="F4" s="327"/>
      <c r="G4" s="327"/>
      <c r="H4" s="328" t="s">
        <v>91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</row>
    <row r="5" spans="2:248">
      <c r="B5" s="329" t="s">
        <v>466</v>
      </c>
      <c r="C5" s="330">
        <v>44227</v>
      </c>
      <c r="D5" s="330">
        <v>44591</v>
      </c>
      <c r="E5" s="330">
        <v>44955</v>
      </c>
      <c r="F5" s="330">
        <v>45319</v>
      </c>
      <c r="G5" s="330">
        <v>45683</v>
      </c>
      <c r="H5" s="330">
        <v>45684</v>
      </c>
    </row>
    <row r="6" spans="2:248">
      <c r="B6" s="331" t="s">
        <v>255</v>
      </c>
      <c r="C6" s="332" t="s">
        <v>256</v>
      </c>
      <c r="D6" s="332" t="s">
        <v>256</v>
      </c>
      <c r="E6" s="332" t="s">
        <v>256</v>
      </c>
      <c r="F6" s="332" t="s">
        <v>256</v>
      </c>
      <c r="G6" s="332" t="s">
        <v>256</v>
      </c>
      <c r="H6" s="332"/>
    </row>
    <row r="7" spans="2:248">
      <c r="B7" s="333" t="s">
        <v>130</v>
      </c>
      <c r="C7" s="334" t="s">
        <v>131</v>
      </c>
      <c r="D7" s="334" t="s">
        <v>131</v>
      </c>
      <c r="E7" s="334" t="s">
        <v>131</v>
      </c>
      <c r="F7" s="334" t="s">
        <v>131</v>
      </c>
      <c r="G7" s="334" t="s">
        <v>131</v>
      </c>
      <c r="H7" s="334" t="s">
        <v>131</v>
      </c>
    </row>
    <row r="8" spans="2:248">
      <c r="B8" s="335" t="s">
        <v>132</v>
      </c>
      <c r="C8" s="325"/>
      <c r="D8" s="325"/>
      <c r="E8" s="325"/>
      <c r="F8" s="325"/>
      <c r="G8" s="325"/>
      <c r="H8" s="325"/>
    </row>
    <row r="9" spans="2:248">
      <c r="B9" s="335" t="s">
        <v>5</v>
      </c>
      <c r="C9" s="338">
        <v>4332</v>
      </c>
      <c r="D9" s="338">
        <v>9752</v>
      </c>
      <c r="E9" s="338">
        <v>4368</v>
      </c>
      <c r="F9" s="338">
        <v>29760</v>
      </c>
      <c r="G9" s="338">
        <v>72880</v>
      </c>
      <c r="H9" s="338">
        <v>86597</v>
      </c>
    </row>
    <row r="10" spans="2:248">
      <c r="B10" s="325" t="s">
        <v>20</v>
      </c>
      <c r="C10" s="336">
        <v>486</v>
      </c>
      <c r="D10" s="336">
        <v>611</v>
      </c>
      <c r="E10" s="336">
        <v>845</v>
      </c>
      <c r="F10" s="336">
        <v>894</v>
      </c>
      <c r="G10" s="336">
        <v>1271</v>
      </c>
      <c r="H10" s="336">
        <v>1754</v>
      </c>
    </row>
    <row r="11" spans="2:248">
      <c r="B11" s="325" t="s">
        <v>64</v>
      </c>
      <c r="C11" s="336">
        <v>612</v>
      </c>
      <c r="D11" s="336">
        <v>563</v>
      </c>
      <c r="E11" s="336">
        <v>699</v>
      </c>
      <c r="F11" s="336">
        <v>614</v>
      </c>
      <c r="G11" s="336">
        <v>593</v>
      </c>
      <c r="H11" s="336">
        <v>547</v>
      </c>
    </row>
    <row r="12" spans="2:248">
      <c r="B12" s="335" t="s">
        <v>65</v>
      </c>
      <c r="C12" s="337">
        <v>1098</v>
      </c>
      <c r="D12" s="337">
        <v>1174</v>
      </c>
      <c r="E12" s="337">
        <v>1544</v>
      </c>
      <c r="F12" s="337">
        <v>1508</v>
      </c>
      <c r="G12" s="337">
        <v>1864</v>
      </c>
      <c r="H12" s="337">
        <v>2301</v>
      </c>
    </row>
    <row r="13" spans="2:248">
      <c r="B13" s="325"/>
      <c r="C13" s="325"/>
      <c r="D13" s="325"/>
      <c r="E13" s="325"/>
      <c r="F13" s="325"/>
      <c r="G13" s="325"/>
      <c r="H13" s="325"/>
    </row>
    <row r="14" spans="2:248">
      <c r="B14" s="325" t="s">
        <v>66</v>
      </c>
      <c r="C14" s="336" t="s">
        <v>15</v>
      </c>
      <c r="D14" s="336" t="s">
        <v>15</v>
      </c>
      <c r="E14" s="336" t="s">
        <v>15</v>
      </c>
      <c r="F14" s="336" t="s">
        <v>15</v>
      </c>
      <c r="G14" s="336" t="s">
        <v>15</v>
      </c>
      <c r="H14" s="336" t="s">
        <v>15</v>
      </c>
    </row>
    <row r="15" spans="2:248">
      <c r="B15" s="325" t="s">
        <v>67</v>
      </c>
      <c r="C15" s="336" t="s">
        <v>15</v>
      </c>
      <c r="D15" s="336" t="s">
        <v>15</v>
      </c>
      <c r="E15" s="336" t="s">
        <v>15</v>
      </c>
      <c r="F15" s="336" t="s">
        <v>15</v>
      </c>
      <c r="G15" s="336" t="s">
        <v>15</v>
      </c>
      <c r="H15" s="336" t="s">
        <v>15</v>
      </c>
    </row>
    <row r="16" spans="2:248">
      <c r="B16" s="325" t="s">
        <v>68</v>
      </c>
      <c r="C16" s="336" t="s">
        <v>15</v>
      </c>
      <c r="D16" s="336">
        <v>-100</v>
      </c>
      <c r="E16" s="336">
        <v>45</v>
      </c>
      <c r="F16" s="336">
        <v>-238</v>
      </c>
      <c r="G16" s="336">
        <v>-1030</v>
      </c>
      <c r="H16" s="336">
        <v>-2839</v>
      </c>
    </row>
    <row r="17" spans="2:8">
      <c r="B17" s="325" t="s">
        <v>69</v>
      </c>
      <c r="C17" s="336" t="s">
        <v>15</v>
      </c>
      <c r="D17" s="336" t="s">
        <v>15</v>
      </c>
      <c r="E17" s="336" t="s">
        <v>15</v>
      </c>
      <c r="F17" s="336" t="s">
        <v>15</v>
      </c>
      <c r="G17" s="336" t="s">
        <v>15</v>
      </c>
      <c r="H17" s="336" t="s">
        <v>15</v>
      </c>
    </row>
    <row r="18" spans="2:8">
      <c r="B18" s="325" t="s">
        <v>17</v>
      </c>
      <c r="C18" s="336">
        <v>1397</v>
      </c>
      <c r="D18" s="336">
        <v>2004</v>
      </c>
      <c r="E18" s="336">
        <v>2709</v>
      </c>
      <c r="F18" s="336">
        <v>3549</v>
      </c>
      <c r="G18" s="336">
        <v>4737</v>
      </c>
      <c r="H18" s="336">
        <v>5672</v>
      </c>
    </row>
    <row r="19" spans="2:8">
      <c r="B19" s="325" t="s">
        <v>70</v>
      </c>
      <c r="C19" s="336" t="s">
        <v>15</v>
      </c>
      <c r="D19" s="336" t="s">
        <v>15</v>
      </c>
      <c r="E19" s="336" t="s">
        <v>15</v>
      </c>
      <c r="F19" s="336" t="s">
        <v>15</v>
      </c>
      <c r="G19" s="336" t="s">
        <v>15</v>
      </c>
      <c r="H19" s="336" t="s">
        <v>15</v>
      </c>
    </row>
    <row r="20" spans="2:8">
      <c r="B20" s="325" t="s">
        <v>71</v>
      </c>
      <c r="C20" s="336">
        <v>-302</v>
      </c>
      <c r="D20" s="336">
        <v>-359</v>
      </c>
      <c r="E20" s="336">
        <v>-818</v>
      </c>
      <c r="F20" s="336">
        <v>-2767</v>
      </c>
      <c r="G20" s="336">
        <v>-4979</v>
      </c>
      <c r="H20" s="336">
        <v>-3771</v>
      </c>
    </row>
    <row r="21" spans="2:8">
      <c r="B21" s="325" t="s">
        <v>72</v>
      </c>
      <c r="C21" s="336">
        <v>-550</v>
      </c>
      <c r="D21" s="336">
        <v>-2215</v>
      </c>
      <c r="E21" s="336">
        <v>822</v>
      </c>
      <c r="F21" s="336">
        <v>-6172</v>
      </c>
      <c r="G21" s="336">
        <v>-13063</v>
      </c>
      <c r="H21" s="336">
        <v>-13673</v>
      </c>
    </row>
    <row r="22" spans="2:8">
      <c r="B22" s="325" t="s">
        <v>16</v>
      </c>
      <c r="C22" s="336">
        <v>-524</v>
      </c>
      <c r="D22" s="336">
        <v>-774</v>
      </c>
      <c r="E22" s="336">
        <v>-2554</v>
      </c>
      <c r="F22" s="336">
        <v>-98</v>
      </c>
      <c r="G22" s="336">
        <v>-4781</v>
      </c>
      <c r="H22" s="336">
        <v>-8281</v>
      </c>
    </row>
    <row r="23" spans="2:8">
      <c r="B23" s="325" t="s">
        <v>73</v>
      </c>
      <c r="C23" s="336">
        <v>312</v>
      </c>
      <c r="D23" s="336">
        <v>568</v>
      </c>
      <c r="E23" s="336">
        <v>-551</v>
      </c>
      <c r="F23" s="336">
        <v>1531</v>
      </c>
      <c r="G23" s="336">
        <v>3357</v>
      </c>
      <c r="H23" s="336">
        <v>4811</v>
      </c>
    </row>
    <row r="24" spans="2:8">
      <c r="B24" s="325" t="s">
        <v>74</v>
      </c>
      <c r="C24" s="336">
        <v>59</v>
      </c>
      <c r="D24" s="336">
        <v>-942</v>
      </c>
      <c r="E24" s="336">
        <v>76</v>
      </c>
      <c r="F24" s="336">
        <v>1017</v>
      </c>
      <c r="G24" s="336">
        <v>5104</v>
      </c>
      <c r="H24" s="336">
        <v>6218</v>
      </c>
    </row>
    <row r="25" spans="2:8">
      <c r="B25" s="335" t="s">
        <v>75</v>
      </c>
      <c r="C25" s="337">
        <v>5822</v>
      </c>
      <c r="D25" s="337">
        <v>9108</v>
      </c>
      <c r="E25" s="337">
        <v>5641</v>
      </c>
      <c r="F25" s="337">
        <v>28090</v>
      </c>
      <c r="G25" s="337">
        <v>64089</v>
      </c>
      <c r="H25" s="337">
        <v>77035</v>
      </c>
    </row>
    <row r="26" spans="2:8">
      <c r="B26" s="325"/>
      <c r="C26" s="325"/>
      <c r="D26" s="325"/>
      <c r="E26" s="325"/>
      <c r="F26" s="325"/>
      <c r="G26" s="325"/>
      <c r="H26" s="325"/>
    </row>
    <row r="27" spans="2:8">
      <c r="B27" s="325" t="s">
        <v>76</v>
      </c>
      <c r="C27" s="336">
        <v>-1128</v>
      </c>
      <c r="D27" s="336">
        <v>-976</v>
      </c>
      <c r="E27" s="336">
        <v>-1833</v>
      </c>
      <c r="F27" s="336">
        <v>-1069</v>
      </c>
      <c r="G27" s="336">
        <v>-3236</v>
      </c>
      <c r="H27" s="336">
        <v>-5012</v>
      </c>
    </row>
    <row r="28" spans="2:8">
      <c r="B28" s="325" t="s">
        <v>77</v>
      </c>
      <c r="C28" s="336" t="s">
        <v>15</v>
      </c>
      <c r="D28" s="336" t="s">
        <v>15</v>
      </c>
      <c r="E28" s="336" t="s">
        <v>15</v>
      </c>
      <c r="F28" s="336" t="s">
        <v>15</v>
      </c>
      <c r="G28" s="336" t="s">
        <v>15</v>
      </c>
      <c r="H28" s="336" t="s">
        <v>15</v>
      </c>
    </row>
    <row r="29" spans="2:8">
      <c r="B29" s="325" t="s">
        <v>78</v>
      </c>
      <c r="C29" s="336">
        <v>-8524</v>
      </c>
      <c r="D29" s="336">
        <v>-263</v>
      </c>
      <c r="E29" s="336">
        <v>-49</v>
      </c>
      <c r="F29" s="336">
        <v>-83</v>
      </c>
      <c r="G29" s="336">
        <v>-1007</v>
      </c>
      <c r="H29" s="336">
        <v>-1367</v>
      </c>
    </row>
    <row r="30" spans="2:8">
      <c r="B30" s="325" t="s">
        <v>224</v>
      </c>
      <c r="C30" s="336" t="s">
        <v>15</v>
      </c>
      <c r="D30" s="336" t="s">
        <v>15</v>
      </c>
      <c r="E30" s="336" t="s">
        <v>15</v>
      </c>
      <c r="F30" s="336" t="s">
        <v>15</v>
      </c>
      <c r="G30" s="336" t="s">
        <v>15</v>
      </c>
      <c r="H30" s="336" t="s">
        <v>15</v>
      </c>
    </row>
    <row r="31" spans="2:8">
      <c r="B31" s="325" t="s">
        <v>79</v>
      </c>
      <c r="C31" s="336">
        <v>-10023</v>
      </c>
      <c r="D31" s="336">
        <v>-8591</v>
      </c>
      <c r="E31" s="336">
        <v>9257</v>
      </c>
      <c r="F31" s="336">
        <v>-9290</v>
      </c>
      <c r="G31" s="336">
        <v>-16200</v>
      </c>
      <c r="H31" s="336">
        <v>-17530</v>
      </c>
    </row>
    <row r="32" spans="2:8">
      <c r="B32" s="325" t="s">
        <v>225</v>
      </c>
      <c r="C32" s="336" t="s">
        <v>15</v>
      </c>
      <c r="D32" s="336" t="s">
        <v>15</v>
      </c>
      <c r="E32" s="336" t="s">
        <v>15</v>
      </c>
      <c r="F32" s="336" t="s">
        <v>15</v>
      </c>
      <c r="G32" s="336" t="s">
        <v>15</v>
      </c>
      <c r="H32" s="336" t="s">
        <v>15</v>
      </c>
    </row>
    <row r="33" spans="2:8">
      <c r="B33" s="325" t="s">
        <v>80</v>
      </c>
      <c r="C33" s="336" t="s">
        <v>15</v>
      </c>
      <c r="D33" s="336" t="s">
        <v>15</v>
      </c>
      <c r="E33" s="336" t="s">
        <v>15</v>
      </c>
      <c r="F33" s="336">
        <v>-124</v>
      </c>
      <c r="G33" s="336">
        <v>22</v>
      </c>
      <c r="H33" s="336">
        <v>22</v>
      </c>
    </row>
    <row r="34" spans="2:8">
      <c r="B34" s="335" t="s">
        <v>81</v>
      </c>
      <c r="C34" s="337">
        <v>-19675</v>
      </c>
      <c r="D34" s="337">
        <v>-9830</v>
      </c>
      <c r="E34" s="337">
        <v>7375</v>
      </c>
      <c r="F34" s="337">
        <v>-10566</v>
      </c>
      <c r="G34" s="337">
        <v>-20421</v>
      </c>
      <c r="H34" s="337">
        <v>-23887</v>
      </c>
    </row>
    <row r="35" spans="2:8">
      <c r="B35" s="325"/>
      <c r="C35" s="325"/>
      <c r="D35" s="325"/>
      <c r="E35" s="325"/>
      <c r="F35" s="325"/>
      <c r="G35" s="325"/>
      <c r="H35" s="325"/>
    </row>
    <row r="36" spans="2:8">
      <c r="B36" s="325" t="s">
        <v>226</v>
      </c>
      <c r="C36" s="336" t="s">
        <v>15</v>
      </c>
      <c r="D36" s="336" t="s">
        <v>15</v>
      </c>
      <c r="E36" s="336" t="s">
        <v>15</v>
      </c>
      <c r="F36" s="336" t="s">
        <v>15</v>
      </c>
      <c r="G36" s="336" t="s">
        <v>15</v>
      </c>
      <c r="H36" s="336" t="s">
        <v>15</v>
      </c>
    </row>
    <row r="37" spans="2:8">
      <c r="B37" s="325" t="s">
        <v>82</v>
      </c>
      <c r="C37" s="336">
        <v>4968</v>
      </c>
      <c r="D37" s="336">
        <v>4977</v>
      </c>
      <c r="E37" s="336" t="s">
        <v>15</v>
      </c>
      <c r="F37" s="336" t="s">
        <v>15</v>
      </c>
      <c r="G37" s="336" t="s">
        <v>15</v>
      </c>
      <c r="H37" s="336" t="s">
        <v>15</v>
      </c>
    </row>
    <row r="38" spans="2:8">
      <c r="B38" s="335" t="s">
        <v>227</v>
      </c>
      <c r="C38" s="337">
        <v>4968</v>
      </c>
      <c r="D38" s="337">
        <v>4977</v>
      </c>
      <c r="E38" s="337" t="s">
        <v>15</v>
      </c>
      <c r="F38" s="337" t="s">
        <v>15</v>
      </c>
      <c r="G38" s="337" t="s">
        <v>15</v>
      </c>
      <c r="H38" s="337" t="s">
        <v>15</v>
      </c>
    </row>
    <row r="39" spans="2:8">
      <c r="B39" s="325" t="s">
        <v>228</v>
      </c>
      <c r="C39" s="336" t="s">
        <v>15</v>
      </c>
      <c r="D39" s="336" t="s">
        <v>15</v>
      </c>
      <c r="E39" s="336" t="s">
        <v>15</v>
      </c>
      <c r="F39" s="336" t="s">
        <v>15</v>
      </c>
      <c r="G39" s="336" t="s">
        <v>15</v>
      </c>
      <c r="H39" s="336" t="s">
        <v>15</v>
      </c>
    </row>
    <row r="40" spans="2:8">
      <c r="B40" s="325" t="s">
        <v>83</v>
      </c>
      <c r="C40" s="336" t="s">
        <v>15</v>
      </c>
      <c r="D40" s="336">
        <v>-1000</v>
      </c>
      <c r="E40" s="336" t="s">
        <v>15</v>
      </c>
      <c r="F40" s="336">
        <v>-1250</v>
      </c>
      <c r="G40" s="336">
        <v>-1250</v>
      </c>
      <c r="H40" s="336" t="s">
        <v>15</v>
      </c>
    </row>
    <row r="41" spans="2:8">
      <c r="B41" s="335" t="s">
        <v>229</v>
      </c>
      <c r="C41" s="337" t="s">
        <v>15</v>
      </c>
      <c r="D41" s="337">
        <v>-1000</v>
      </c>
      <c r="E41" s="337" t="s">
        <v>15</v>
      </c>
      <c r="F41" s="337">
        <v>-1250</v>
      </c>
      <c r="G41" s="337">
        <v>-1250</v>
      </c>
      <c r="H41" s="337">
        <v>0</v>
      </c>
    </row>
    <row r="42" spans="2:8">
      <c r="B42" s="325"/>
      <c r="C42" s="325"/>
      <c r="D42" s="325"/>
      <c r="E42" s="325"/>
      <c r="F42" s="325"/>
      <c r="G42" s="325"/>
      <c r="H42" s="325"/>
    </row>
    <row r="43" spans="2:8">
      <c r="B43" s="325" t="s">
        <v>84</v>
      </c>
      <c r="C43" s="336">
        <v>194</v>
      </c>
      <c r="D43" s="336">
        <v>281</v>
      </c>
      <c r="E43" s="336">
        <v>355</v>
      </c>
      <c r="F43" s="336">
        <v>403</v>
      </c>
      <c r="G43" s="336">
        <v>490</v>
      </c>
      <c r="H43" s="336">
        <v>575</v>
      </c>
    </row>
    <row r="44" spans="2:8">
      <c r="B44" s="325" t="s">
        <v>85</v>
      </c>
      <c r="C44" s="336">
        <v>-942</v>
      </c>
      <c r="D44" s="336">
        <v>-1904</v>
      </c>
      <c r="E44" s="336">
        <v>-11514</v>
      </c>
      <c r="F44" s="336">
        <v>-12316</v>
      </c>
      <c r="G44" s="336">
        <v>-40636</v>
      </c>
      <c r="H44" s="336">
        <v>-49544</v>
      </c>
    </row>
    <row r="45" spans="2:8">
      <c r="B45" s="325"/>
      <c r="C45" s="325"/>
      <c r="D45" s="325"/>
      <c r="E45" s="325"/>
      <c r="F45" s="325"/>
      <c r="G45" s="325"/>
      <c r="H45" s="325"/>
    </row>
    <row r="46" spans="2:8">
      <c r="B46" s="325" t="s">
        <v>86</v>
      </c>
      <c r="C46" s="336">
        <v>-395</v>
      </c>
      <c r="D46" s="336">
        <v>-399</v>
      </c>
      <c r="E46" s="336">
        <v>-398</v>
      </c>
      <c r="F46" s="336">
        <v>-395</v>
      </c>
      <c r="G46" s="336">
        <v>-834</v>
      </c>
      <c r="H46" s="336">
        <v>-978</v>
      </c>
    </row>
    <row r="47" spans="2:8">
      <c r="B47" s="335" t="s">
        <v>87</v>
      </c>
      <c r="C47" s="337">
        <v>-395</v>
      </c>
      <c r="D47" s="337">
        <v>-399</v>
      </c>
      <c r="E47" s="337">
        <v>-398</v>
      </c>
      <c r="F47" s="337">
        <v>-395</v>
      </c>
      <c r="G47" s="337">
        <v>-834</v>
      </c>
      <c r="H47" s="337">
        <v>-978</v>
      </c>
    </row>
    <row r="48" spans="2:8">
      <c r="B48" s="325"/>
      <c r="C48" s="325"/>
      <c r="D48" s="325"/>
      <c r="E48" s="325"/>
      <c r="F48" s="325"/>
      <c r="G48" s="325"/>
      <c r="H48" s="325"/>
    </row>
    <row r="49" spans="2:8">
      <c r="B49" s="325" t="s">
        <v>230</v>
      </c>
      <c r="C49" s="336" t="s">
        <v>15</v>
      </c>
      <c r="D49" s="336" t="s">
        <v>15</v>
      </c>
      <c r="E49" s="336" t="s">
        <v>15</v>
      </c>
      <c r="F49" s="336" t="s">
        <v>15</v>
      </c>
      <c r="G49" s="336" t="s">
        <v>15</v>
      </c>
      <c r="H49" s="336" t="s">
        <v>15</v>
      </c>
    </row>
    <row r="50" spans="2:8">
      <c r="B50" s="325" t="s">
        <v>88</v>
      </c>
      <c r="C50" s="336">
        <v>-21</v>
      </c>
      <c r="D50" s="336">
        <v>-90</v>
      </c>
      <c r="E50" s="336">
        <v>-60</v>
      </c>
      <c r="F50" s="336">
        <v>-75</v>
      </c>
      <c r="G50" s="336">
        <v>-129</v>
      </c>
      <c r="H50" s="336">
        <v>-133</v>
      </c>
    </row>
    <row r="51" spans="2:8">
      <c r="B51" s="335" t="s">
        <v>89</v>
      </c>
      <c r="C51" s="337">
        <v>3804</v>
      </c>
      <c r="D51" s="337">
        <v>1865</v>
      </c>
      <c r="E51" s="337">
        <v>-11617</v>
      </c>
      <c r="F51" s="337">
        <v>-13633</v>
      </c>
      <c r="G51" s="337">
        <v>-42359</v>
      </c>
      <c r="H51" s="337">
        <v>-50080</v>
      </c>
    </row>
    <row r="52" spans="2:8">
      <c r="B52" s="325"/>
      <c r="C52" s="325"/>
      <c r="D52" s="325"/>
      <c r="E52" s="325"/>
      <c r="F52" s="325"/>
      <c r="G52" s="325"/>
      <c r="H52" s="325"/>
    </row>
    <row r="53" spans="2:8">
      <c r="B53" s="335" t="s">
        <v>90</v>
      </c>
      <c r="C53" s="339">
        <v>-10049</v>
      </c>
      <c r="D53" s="339">
        <v>1143</v>
      </c>
      <c r="E53" s="339">
        <v>1399</v>
      </c>
      <c r="F53" s="339">
        <v>3891</v>
      </c>
      <c r="G53" s="339">
        <v>1309</v>
      </c>
      <c r="H53" s="339">
        <v>3068</v>
      </c>
    </row>
    <row r="54" spans="2:8">
      <c r="B54" s="325"/>
      <c r="C54" s="325"/>
      <c r="D54" s="325"/>
      <c r="E54" s="325"/>
      <c r="F54" s="325"/>
      <c r="G54" s="325"/>
      <c r="H54" s="325"/>
    </row>
    <row r="55" spans="2:8">
      <c r="B55" s="335" t="s">
        <v>170</v>
      </c>
      <c r="C55" s="325"/>
      <c r="D55" s="325"/>
      <c r="E55" s="325"/>
      <c r="F55" s="325"/>
      <c r="G55" s="325"/>
      <c r="H55" s="325"/>
    </row>
    <row r="56" spans="2:8">
      <c r="B56" s="325" t="s">
        <v>231</v>
      </c>
      <c r="C56" s="336">
        <v>138</v>
      </c>
      <c r="D56" s="336">
        <v>246</v>
      </c>
      <c r="E56" s="336">
        <v>254</v>
      </c>
      <c r="F56" s="336">
        <v>252</v>
      </c>
      <c r="G56" s="336">
        <v>246</v>
      </c>
      <c r="H56" s="336">
        <v>246</v>
      </c>
    </row>
    <row r="57" spans="2:8">
      <c r="B57" s="325" t="s">
        <v>232</v>
      </c>
      <c r="C57" s="336">
        <v>249</v>
      </c>
      <c r="D57" s="336">
        <v>396</v>
      </c>
      <c r="E57" s="336">
        <v>1404</v>
      </c>
      <c r="F57" s="336">
        <v>6549</v>
      </c>
      <c r="G57" s="336">
        <v>15118</v>
      </c>
      <c r="H57" s="336">
        <v>16120</v>
      </c>
    </row>
    <row r="58" spans="2:8">
      <c r="B58" s="325" t="s">
        <v>233</v>
      </c>
      <c r="C58" s="336">
        <v>3734.625</v>
      </c>
      <c r="D58" s="336">
        <v>6468.125</v>
      </c>
      <c r="E58" s="336">
        <v>4532.875</v>
      </c>
      <c r="F58" s="336">
        <v>19866.875</v>
      </c>
      <c r="G58" s="336">
        <v>44169.75</v>
      </c>
      <c r="H58" s="336">
        <v>52436.75</v>
      </c>
    </row>
    <row r="59" spans="2:8">
      <c r="B59" s="325" t="s">
        <v>234</v>
      </c>
      <c r="C59" s="336">
        <v>3849.625</v>
      </c>
      <c r="D59" s="336">
        <v>6615.625</v>
      </c>
      <c r="E59" s="336">
        <v>4696.625</v>
      </c>
      <c r="F59" s="336">
        <v>20027.5</v>
      </c>
      <c r="G59" s="336">
        <v>44324.125</v>
      </c>
      <c r="H59" s="336">
        <v>52590.5</v>
      </c>
    </row>
    <row r="60" spans="2:8">
      <c r="B60" s="325" t="s">
        <v>235</v>
      </c>
      <c r="C60" s="336">
        <v>468</v>
      </c>
      <c r="D60" s="336">
        <v>1862</v>
      </c>
      <c r="E60" s="336">
        <v>1210</v>
      </c>
      <c r="F60" s="336">
        <v>4568</v>
      </c>
      <c r="G60" s="336">
        <v>9949</v>
      </c>
      <c r="H60" s="336">
        <v>10358</v>
      </c>
    </row>
    <row r="61" spans="2:8">
      <c r="B61" s="325" t="s">
        <v>236</v>
      </c>
      <c r="C61" s="336">
        <v>4968</v>
      </c>
      <c r="D61" s="336">
        <v>3977</v>
      </c>
      <c r="E61" s="336" t="s">
        <v>159</v>
      </c>
      <c r="F61" s="336">
        <v>-1250</v>
      </c>
      <c r="G61" s="336">
        <v>-1250</v>
      </c>
      <c r="H61" s="336">
        <v>0</v>
      </c>
    </row>
    <row r="62" spans="2:8">
      <c r="B62" s="325" t="s">
        <v>183</v>
      </c>
      <c r="C62" s="344">
        <v>44981</v>
      </c>
      <c r="D62" s="344">
        <v>45343</v>
      </c>
      <c r="E62" s="344">
        <v>45714</v>
      </c>
      <c r="F62" s="344">
        <v>45714</v>
      </c>
      <c r="G62" s="344">
        <v>45714</v>
      </c>
      <c r="H62" s="344">
        <v>45896</v>
      </c>
    </row>
    <row r="63" spans="2:8">
      <c r="B63" s="325" t="s">
        <v>184</v>
      </c>
      <c r="C63" s="345" t="s">
        <v>185</v>
      </c>
      <c r="D63" s="345" t="s">
        <v>185</v>
      </c>
      <c r="E63" s="345" t="s">
        <v>185</v>
      </c>
      <c r="F63" s="345" t="s">
        <v>185</v>
      </c>
      <c r="G63" s="345" t="s">
        <v>186</v>
      </c>
      <c r="H63" s="345" t="s">
        <v>186</v>
      </c>
    </row>
    <row r="64" spans="2:8">
      <c r="B64" s="325" t="s">
        <v>187</v>
      </c>
      <c r="C64" s="345" t="s">
        <v>188</v>
      </c>
      <c r="D64" s="345" t="s">
        <v>188</v>
      </c>
      <c r="E64" s="345" t="s">
        <v>188</v>
      </c>
      <c r="F64" s="345" t="s">
        <v>188</v>
      </c>
      <c r="G64" s="345" t="s">
        <v>188</v>
      </c>
      <c r="H64" s="345" t="s">
        <v>91</v>
      </c>
    </row>
    <row r="65" spans="2:8">
      <c r="B65" s="325"/>
      <c r="C65" s="325"/>
      <c r="D65" s="325"/>
      <c r="E65" s="325"/>
      <c r="F65" s="325"/>
      <c r="G65" s="325"/>
      <c r="H65" s="325"/>
    </row>
    <row r="66" spans="2:8">
      <c r="B66" s="347" t="s">
        <v>201</v>
      </c>
      <c r="C66" s="346"/>
      <c r="D66" s="346"/>
      <c r="E66" s="346"/>
      <c r="F66" s="346"/>
      <c r="G66" s="346"/>
      <c r="H66" s="346"/>
    </row>
    <row r="67" spans="2:8">
      <c r="B67" s="348" t="s">
        <v>239</v>
      </c>
      <c r="C67" s="47"/>
      <c r="D67" s="47"/>
      <c r="E67" s="47"/>
      <c r="F67" s="47"/>
      <c r="G67" s="47"/>
      <c r="H67" s="47"/>
    </row>
  </sheetData>
  <mergeCells count="1">
    <mergeCell ref="B3:H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88A0-81C6-448F-868D-060C2C1642B1}">
  <sheetPr codeName="Sheet1"/>
  <dimension ref="A1:Q130"/>
  <sheetViews>
    <sheetView showGridLines="0" workbookViewId="0"/>
  </sheetViews>
  <sheetFormatPr defaultColWidth="9.15234375" defaultRowHeight="19.3" outlineLevelRow="1"/>
  <cols>
    <col min="1" max="1" width="3.61328125" style="67" customWidth="1"/>
    <col min="2" max="2" width="2.69140625" style="67" customWidth="1"/>
    <col min="3" max="3" width="8" style="67" customWidth="1"/>
    <col min="4" max="8" width="11.69140625" style="67" customWidth="1"/>
    <col min="9" max="9" width="6.69140625" style="67" customWidth="1"/>
    <col min="10" max="10" width="2.69140625" style="67" customWidth="1"/>
    <col min="11" max="11" width="8" style="67" customWidth="1"/>
    <col min="12" max="14" width="11.69140625" style="67" customWidth="1"/>
    <col min="15" max="15" width="12.765625" style="67" bestFit="1" customWidth="1"/>
    <col min="16" max="16" width="11.69140625" style="67" customWidth="1"/>
    <col min="17" max="16384" width="9.15234375" style="67"/>
  </cols>
  <sheetData>
    <row r="1" spans="1:17" ht="58.75" customHeight="1">
      <c r="B1" s="223"/>
      <c r="C1" s="223"/>
      <c r="D1" s="223"/>
      <c r="E1" s="224"/>
      <c r="F1" s="7" t="s">
        <v>25</v>
      </c>
      <c r="G1" s="224"/>
      <c r="H1" s="224"/>
      <c r="I1" s="224"/>
      <c r="J1" s="225"/>
      <c r="K1" s="224"/>
      <c r="L1" s="224"/>
      <c r="M1" s="224"/>
      <c r="N1" s="224"/>
      <c r="O1" s="224"/>
      <c r="P1" s="224"/>
      <c r="Q1" s="106"/>
    </row>
    <row r="2" spans="1:17" ht="17.600000000000001" customHeight="1"/>
    <row r="3" spans="1:17" ht="17.600000000000001" customHeight="1">
      <c r="A3" s="226" t="s">
        <v>132</v>
      </c>
      <c r="B3" s="21" t="s">
        <v>402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8"/>
    </row>
    <row r="4" spans="1:17" ht="17.600000000000001" customHeight="1" outlineLevel="1">
      <c r="A4" s="226"/>
      <c r="F4" s="30"/>
      <c r="G4" s="31"/>
      <c r="H4" s="30"/>
      <c r="I4" s="30"/>
      <c r="J4" s="63"/>
      <c r="K4" s="63"/>
      <c r="L4" s="34"/>
      <c r="M4" s="34"/>
      <c r="N4" s="34"/>
      <c r="O4" s="34"/>
    </row>
    <row r="5" spans="1:17" ht="17.600000000000001" customHeight="1" outlineLevel="1">
      <c r="D5" s="34" t="s">
        <v>403</v>
      </c>
      <c r="F5" s="227">
        <v>2</v>
      </c>
      <c r="G5" s="227"/>
      <c r="L5" s="228" t="s">
        <v>6</v>
      </c>
      <c r="M5" s="229"/>
      <c r="N5" s="229"/>
      <c r="O5" s="229"/>
    </row>
    <row r="6" spans="1:17" ht="17.600000000000001" customHeight="1" outlineLevel="1"/>
    <row r="7" spans="1:17" ht="17.600000000000001" customHeight="1" outlineLevel="1">
      <c r="D7" s="688" t="s">
        <v>480</v>
      </c>
      <c r="E7" s="689"/>
      <c r="F7" s="689"/>
      <c r="G7" s="689"/>
      <c r="H7" s="689"/>
      <c r="L7" s="688" t="s">
        <v>404</v>
      </c>
      <c r="M7" s="689"/>
      <c r="N7" s="689"/>
      <c r="O7" s="689"/>
    </row>
    <row r="8" spans="1:17" s="106" customFormat="1" ht="17.600000000000001" customHeight="1" outlineLevel="1">
      <c r="F8" s="690"/>
      <c r="G8" s="690"/>
      <c r="H8" s="690"/>
      <c r="I8" s="30"/>
      <c r="J8" s="230"/>
      <c r="K8" s="230"/>
      <c r="L8" s="67"/>
      <c r="M8" s="67"/>
      <c r="N8" s="67"/>
      <c r="O8" s="67"/>
    </row>
    <row r="9" spans="1:17" ht="17.600000000000001" customHeight="1" outlineLevel="1">
      <c r="A9" s="230"/>
      <c r="D9" s="231"/>
      <c r="E9" s="106"/>
      <c r="F9" s="232" t="s">
        <v>405</v>
      </c>
      <c r="G9" s="232" t="s">
        <v>99</v>
      </c>
      <c r="H9" s="232" t="s">
        <v>99</v>
      </c>
      <c r="I9" s="233"/>
      <c r="J9" s="233"/>
      <c r="K9" s="233"/>
    </row>
    <row r="10" spans="1:17" ht="17.600000000000001" customHeight="1" outlineLevel="1">
      <c r="A10" s="230"/>
      <c r="D10" s="106"/>
      <c r="E10" s="106"/>
      <c r="F10" s="232" t="s">
        <v>406</v>
      </c>
      <c r="G10" s="232" t="s">
        <v>406</v>
      </c>
      <c r="H10" s="232" t="s">
        <v>407</v>
      </c>
      <c r="I10" s="233"/>
      <c r="J10" s="233"/>
      <c r="K10" s="233"/>
      <c r="L10" s="34" t="s">
        <v>408</v>
      </c>
      <c r="M10" s="34"/>
      <c r="N10" s="234"/>
      <c r="O10" s="235">
        <f>Inputs!F109</f>
        <v>0.03</v>
      </c>
    </row>
    <row r="11" spans="1:17" ht="17.600000000000001" customHeight="1" outlineLevel="1">
      <c r="A11" s="230"/>
      <c r="F11" s="236">
        <f>Model!J323</f>
        <v>635353.15455245343</v>
      </c>
      <c r="G11" s="222"/>
      <c r="H11" s="222"/>
      <c r="I11" s="233"/>
      <c r="J11" s="233"/>
      <c r="K11" s="233"/>
      <c r="L11" s="34" t="s">
        <v>277</v>
      </c>
      <c r="N11" s="234"/>
      <c r="O11" s="235">
        <f>Inputs!F111</f>
        <v>0.10320887088169083</v>
      </c>
      <c r="P11" s="237"/>
    </row>
    <row r="12" spans="1:17" ht="17.600000000000001" customHeight="1" outlineLevel="1">
      <c r="A12" s="230"/>
      <c r="B12" s="29"/>
      <c r="D12" s="687" t="s">
        <v>409</v>
      </c>
      <c r="E12" s="238">
        <v>1</v>
      </c>
      <c r="F12" s="239">
        <f t="dataTable" ref="F12:F14" dt2D="0" dtr="0" r1="F5"/>
        <v>646845.23706497997</v>
      </c>
      <c r="G12" s="240">
        <f>F12-$O$12</f>
        <v>679785.23706497997</v>
      </c>
      <c r="H12" s="241">
        <f>G12/$O$13</f>
        <v>279.74701113785181</v>
      </c>
      <c r="I12" s="242"/>
      <c r="J12" s="243"/>
      <c r="K12" s="243"/>
      <c r="L12" s="34" t="s">
        <v>207</v>
      </c>
      <c r="N12" s="244" t="str">
        <f>CONCATENATE("(End of ",2025,")")</f>
        <v>(End of 2025)</v>
      </c>
      <c r="O12" s="245">
        <f>'Balance Sheet'!G69</f>
        <v>-32940</v>
      </c>
      <c r="P12" s="237"/>
    </row>
    <row r="13" spans="1:17" ht="17.600000000000001" customHeight="1" outlineLevel="1">
      <c r="A13" s="230"/>
      <c r="B13" s="29"/>
      <c r="D13" s="687" t="s">
        <v>410</v>
      </c>
      <c r="E13" s="238">
        <v>2</v>
      </c>
      <c r="F13" s="246">
        <v>635353.15455245343</v>
      </c>
      <c r="G13" s="247">
        <f>F13-$O$12</f>
        <v>668293.15455245343</v>
      </c>
      <c r="H13" s="248">
        <f>G13/$O$13</f>
        <v>275.01775907508369</v>
      </c>
      <c r="I13" s="242"/>
      <c r="J13" s="243"/>
      <c r="K13" s="243"/>
      <c r="L13" s="34" t="s">
        <v>392</v>
      </c>
      <c r="M13" s="34"/>
      <c r="N13" s="244" t="s">
        <v>393</v>
      </c>
      <c r="O13" s="249">
        <f>Inputs!F107</f>
        <v>2430</v>
      </c>
      <c r="P13" s="237"/>
    </row>
    <row r="14" spans="1:17" s="106" customFormat="1" ht="17.600000000000001" customHeight="1" outlineLevel="1">
      <c r="B14" s="32"/>
      <c r="D14" s="687" t="s">
        <v>411</v>
      </c>
      <c r="E14" s="238">
        <v>3</v>
      </c>
      <c r="F14" s="250">
        <v>577042.43058040494</v>
      </c>
      <c r="G14" s="251">
        <f>F14-$O$12</f>
        <v>609982.43058040494</v>
      </c>
      <c r="H14" s="252">
        <f>G14/$O$13</f>
        <v>251.02157637053702</v>
      </c>
      <c r="I14" s="253"/>
      <c r="J14" s="253"/>
      <c r="L14" s="38" t="s">
        <v>412</v>
      </c>
      <c r="M14" s="254"/>
      <c r="N14" s="255" t="s">
        <v>413</v>
      </c>
      <c r="O14" s="256">
        <f>Inputs!F108</f>
        <v>176.67</v>
      </c>
      <c r="P14" s="237"/>
    </row>
    <row r="15" spans="1:17" s="106" customFormat="1" ht="17.600000000000001" customHeight="1" outlineLevel="1">
      <c r="B15" s="91"/>
      <c r="F15" s="67"/>
      <c r="G15" s="67"/>
      <c r="H15" s="67"/>
      <c r="I15" s="253"/>
      <c r="J15" s="253"/>
      <c r="L15" s="34"/>
      <c r="M15" s="67"/>
      <c r="N15" s="67"/>
      <c r="O15" s="234"/>
      <c r="P15" s="257"/>
    </row>
    <row r="16" spans="1:17" ht="17.600000000000001" customHeight="1" outlineLevel="1">
      <c r="I16" s="258"/>
      <c r="J16" s="258"/>
      <c r="K16" s="258"/>
      <c r="L16" s="258"/>
      <c r="M16" s="258"/>
      <c r="N16" s="258"/>
      <c r="O16" s="258"/>
      <c r="P16" s="258"/>
    </row>
    <row r="17" spans="2:16" ht="17.600000000000001" customHeight="1" outlineLevel="1">
      <c r="D17" s="691" t="s">
        <v>387</v>
      </c>
      <c r="E17" s="689"/>
      <c r="F17" s="689"/>
      <c r="G17" s="689"/>
      <c r="H17" s="689"/>
      <c r="K17" s="258"/>
      <c r="L17" s="692" t="s">
        <v>414</v>
      </c>
      <c r="M17" s="693"/>
      <c r="N17" s="693"/>
      <c r="O17" s="693"/>
      <c r="P17" s="693"/>
    </row>
    <row r="18" spans="2:16" ht="17.600000000000001" customHeight="1" outlineLevel="1">
      <c r="K18" s="258"/>
      <c r="L18" s="258"/>
      <c r="M18" s="258"/>
      <c r="N18" s="258"/>
      <c r="O18" s="258"/>
      <c r="P18" s="258"/>
    </row>
    <row r="19" spans="2:16" s="260" customFormat="1" ht="17.600000000000001" customHeight="1" outlineLevel="1">
      <c r="C19" s="261"/>
      <c r="D19" s="262" t="s">
        <v>408</v>
      </c>
      <c r="E19" s="229"/>
      <c r="F19" s="229"/>
      <c r="G19" s="229"/>
      <c r="H19" s="229"/>
      <c r="J19" s="67"/>
      <c r="K19" s="263"/>
      <c r="L19" s="264" t="s">
        <v>408</v>
      </c>
      <c r="M19" s="259"/>
      <c r="N19" s="259"/>
      <c r="O19" s="259"/>
      <c r="P19" s="259"/>
    </row>
    <row r="20" spans="2:16" ht="17.600000000000001" customHeight="1" outlineLevel="1">
      <c r="C20" s="265">
        <f>Model!J323</f>
        <v>635353.15455245343</v>
      </c>
      <c r="D20" s="266">
        <f>E20-0.01</f>
        <v>9.9999999999999967E-3</v>
      </c>
      <c r="E20" s="266">
        <f>F20-0.01</f>
        <v>1.9999999999999997E-2</v>
      </c>
      <c r="F20" s="266">
        <f>Inputs!F109</f>
        <v>0.03</v>
      </c>
      <c r="G20" s="266">
        <f>F20+0.01</f>
        <v>0.04</v>
      </c>
      <c r="H20" s="266">
        <f>G20+0.01</f>
        <v>0.05</v>
      </c>
      <c r="I20" s="258"/>
      <c r="K20" s="267"/>
      <c r="L20" s="266">
        <f>D20</f>
        <v>9.9999999999999967E-3</v>
      </c>
      <c r="M20" s="266">
        <f t="shared" ref="M20:P20" si="0">E20</f>
        <v>1.9999999999999997E-2</v>
      </c>
      <c r="N20" s="266">
        <f t="shared" si="0"/>
        <v>0.03</v>
      </c>
      <c r="O20" s="266">
        <f t="shared" si="0"/>
        <v>0.04</v>
      </c>
      <c r="P20" s="266">
        <f t="shared" si="0"/>
        <v>0.05</v>
      </c>
    </row>
    <row r="21" spans="2:16" ht="17.600000000000001" customHeight="1" outlineLevel="1">
      <c r="B21" s="718" t="s">
        <v>277</v>
      </c>
      <c r="C21" s="266">
        <f>C22-0.01</f>
        <v>8.3208870881690836E-2</v>
      </c>
      <c r="D21" s="268">
        <f t="dataTable" ref="D21:H25" dt2D="1" dtr="1" r1="O10" r2="O11" ca="1"/>
        <v>686381.18181960331</v>
      </c>
      <c r="E21" s="269">
        <v>780728.57450039021</v>
      </c>
      <c r="F21" s="269">
        <v>910538.99848306901</v>
      </c>
      <c r="G21" s="269">
        <v>1100434.5028364474</v>
      </c>
      <c r="H21" s="270">
        <v>1404694.3317282277</v>
      </c>
      <c r="I21" s="258"/>
      <c r="J21" s="718" t="s">
        <v>277</v>
      </c>
      <c r="K21" s="266">
        <f>C21</f>
        <v>8.3208870881690836E-2</v>
      </c>
      <c r="L21" s="271">
        <f t="shared" ref="L21:P25" si="1">D32/$O$13</f>
        <v>296.01694725086554</v>
      </c>
      <c r="M21" s="272">
        <f t="shared" si="1"/>
        <v>334.84303477382315</v>
      </c>
      <c r="N21" s="272">
        <f t="shared" si="1"/>
        <v>388.26296233871153</v>
      </c>
      <c r="O21" s="272">
        <f t="shared" si="1"/>
        <v>466.4092604265216</v>
      </c>
      <c r="P21" s="273">
        <f t="shared" si="1"/>
        <v>591.61906655482619</v>
      </c>
    </row>
    <row r="22" spans="2:16" ht="17.600000000000001" customHeight="1" outlineLevel="1">
      <c r="B22" s="718"/>
      <c r="C22" s="266">
        <f>C23-0.01</f>
        <v>9.3208870881690831E-2</v>
      </c>
      <c r="D22" s="274">
        <v>591398.34598637372</v>
      </c>
      <c r="E22" s="275">
        <v>660249.20818767627</v>
      </c>
      <c r="F22" s="275">
        <v>750885.26010710304</v>
      </c>
      <c r="G22" s="275">
        <v>875589.33505259803</v>
      </c>
      <c r="H22" s="276">
        <v>1058014.925233677</v>
      </c>
      <c r="I22" s="258"/>
      <c r="J22" s="718"/>
      <c r="K22" s="266">
        <f t="shared" ref="K22:K25" si="2">C22</f>
        <v>9.3208870881690831E-2</v>
      </c>
      <c r="L22" s="277">
        <f t="shared" si="1"/>
        <v>256.92936048821963</v>
      </c>
      <c r="M22" s="278">
        <f t="shared" si="1"/>
        <v>285.26304863690382</v>
      </c>
      <c r="N22" s="278">
        <f t="shared" si="1"/>
        <v>322.56183543502181</v>
      </c>
      <c r="O22" s="278">
        <f t="shared" si="1"/>
        <v>373.88038479530786</v>
      </c>
      <c r="P22" s="279">
        <f t="shared" si="1"/>
        <v>448.95264412908517</v>
      </c>
    </row>
    <row r="23" spans="2:16" ht="17.600000000000001" customHeight="1" outlineLevel="1">
      <c r="B23" s="718"/>
      <c r="C23" s="266">
        <f>Inputs!F111</f>
        <v>0.10320887088169083</v>
      </c>
      <c r="D23" s="274">
        <v>517217.35017367592</v>
      </c>
      <c r="E23" s="275">
        <v>569186.50176550238</v>
      </c>
      <c r="F23" s="280">
        <v>635353.15455245343</v>
      </c>
      <c r="G23" s="275">
        <v>722455.68291003315</v>
      </c>
      <c r="H23" s="276">
        <v>842298.06344423641</v>
      </c>
      <c r="I23" s="258"/>
      <c r="J23" s="718"/>
      <c r="K23" s="266">
        <f t="shared" si="2"/>
        <v>0.10320887088169083</v>
      </c>
      <c r="L23" s="277">
        <f t="shared" si="1"/>
        <v>226.40220171756212</v>
      </c>
      <c r="M23" s="278">
        <f t="shared" si="1"/>
        <v>247.78868385411621</v>
      </c>
      <c r="N23" s="281">
        <f t="shared" si="1"/>
        <v>275.01775907508369</v>
      </c>
      <c r="O23" s="278">
        <f t="shared" si="1"/>
        <v>310.86242095063091</v>
      </c>
      <c r="P23" s="279">
        <f t="shared" si="1"/>
        <v>360.18027302231951</v>
      </c>
    </row>
    <row r="24" spans="2:16" ht="17.600000000000001" customHeight="1" outlineLevel="1">
      <c r="B24" s="718"/>
      <c r="C24" s="266">
        <f>C23+0.01</f>
        <v>0.11320887088169082</v>
      </c>
      <c r="D24" s="274">
        <v>457773.50276273926</v>
      </c>
      <c r="E24" s="275">
        <v>498052.98247213813</v>
      </c>
      <c r="F24" s="275">
        <v>548013.9971627458</v>
      </c>
      <c r="G24" s="275">
        <v>611623.90824771207</v>
      </c>
      <c r="H24" s="276">
        <v>695360.71297835815</v>
      </c>
      <c r="I24" s="258"/>
      <c r="J24" s="718"/>
      <c r="K24" s="266">
        <f t="shared" si="2"/>
        <v>0.11320887088169082</v>
      </c>
      <c r="L24" s="277">
        <f t="shared" si="1"/>
        <v>201.93971307108612</v>
      </c>
      <c r="M24" s="278">
        <f t="shared" si="1"/>
        <v>218.51563064697044</v>
      </c>
      <c r="N24" s="278">
        <f t="shared" si="1"/>
        <v>239.07571899701475</v>
      </c>
      <c r="O24" s="278">
        <f t="shared" si="1"/>
        <v>265.25263713897618</v>
      </c>
      <c r="P24" s="279">
        <f t="shared" si="1"/>
        <v>299.71222756311033</v>
      </c>
    </row>
    <row r="25" spans="2:16" ht="17.600000000000001" customHeight="1" outlineLevel="1">
      <c r="B25" s="718"/>
      <c r="C25" s="266">
        <f>C24+0.01</f>
        <v>0.12320887088169082</v>
      </c>
      <c r="D25" s="282">
        <v>409145.89572457073</v>
      </c>
      <c r="E25" s="283">
        <v>441039.1853885476</v>
      </c>
      <c r="F25" s="283">
        <v>479775.87726570189</v>
      </c>
      <c r="G25" s="283">
        <v>527823.28120196622</v>
      </c>
      <c r="H25" s="284">
        <v>588996.80041841615</v>
      </c>
      <c r="I25" s="258"/>
      <c r="J25" s="718"/>
      <c r="K25" s="266">
        <f t="shared" si="2"/>
        <v>0.12320887088169082</v>
      </c>
      <c r="L25" s="285">
        <f t="shared" si="1"/>
        <v>181.9283521500291</v>
      </c>
      <c r="M25" s="286">
        <f t="shared" si="1"/>
        <v>195.05316271133646</v>
      </c>
      <c r="N25" s="286">
        <f t="shared" si="1"/>
        <v>210.99418817518597</v>
      </c>
      <c r="O25" s="286">
        <f t="shared" si="1"/>
        <v>230.76678238764043</v>
      </c>
      <c r="P25" s="287">
        <f t="shared" si="1"/>
        <v>255.94107013103545</v>
      </c>
    </row>
    <row r="26" spans="2:16" ht="17.600000000000001" customHeight="1" outlineLevel="1">
      <c r="C26" s="258"/>
      <c r="D26" s="258"/>
      <c r="E26" s="258"/>
      <c r="F26" s="258"/>
      <c r="G26" s="258"/>
      <c r="H26" s="258"/>
      <c r="I26" s="258"/>
    </row>
    <row r="27" spans="2:16" ht="17.600000000000001" customHeight="1" outlineLevel="1"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8"/>
      <c r="N27" s="258"/>
      <c r="O27" s="258"/>
      <c r="P27" s="258"/>
    </row>
    <row r="28" spans="2:16" ht="17.600000000000001" customHeight="1" outlineLevel="1">
      <c r="D28" s="691" t="s">
        <v>390</v>
      </c>
      <c r="E28" s="689"/>
      <c r="F28" s="689"/>
      <c r="G28" s="689"/>
      <c r="H28" s="689"/>
      <c r="I28" s="258"/>
      <c r="J28" s="258"/>
      <c r="K28" s="258"/>
      <c r="L28" s="692" t="s">
        <v>415</v>
      </c>
      <c r="M28" s="693"/>
      <c r="N28" s="693"/>
      <c r="O28" s="693"/>
      <c r="P28" s="693"/>
    </row>
    <row r="29" spans="2:16" ht="17.600000000000001" customHeight="1" outlineLevel="1">
      <c r="I29" s="258"/>
      <c r="J29" s="258"/>
      <c r="K29" s="258"/>
      <c r="L29" s="258"/>
      <c r="M29" s="258"/>
      <c r="N29" s="258"/>
      <c r="O29" s="258"/>
      <c r="P29" s="258"/>
    </row>
    <row r="30" spans="2:16" ht="17.600000000000001" customHeight="1" outlineLevel="1">
      <c r="B30" s="260"/>
      <c r="C30" s="260"/>
      <c r="D30" s="262" t="s">
        <v>408</v>
      </c>
      <c r="E30" s="229"/>
      <c r="F30" s="229"/>
      <c r="G30" s="229"/>
      <c r="H30" s="229"/>
      <c r="I30" s="258"/>
      <c r="J30" s="263"/>
      <c r="K30" s="263"/>
      <c r="L30" s="264" t="s">
        <v>408</v>
      </c>
      <c r="M30" s="259"/>
      <c r="N30" s="259"/>
      <c r="O30" s="259"/>
      <c r="P30" s="259"/>
    </row>
    <row r="31" spans="2:16" ht="17.600000000000001" customHeight="1" outlineLevel="1">
      <c r="B31" s="258"/>
      <c r="C31" s="288"/>
      <c r="D31" s="289">
        <f>L20</f>
        <v>9.9999999999999967E-3</v>
      </c>
      <c r="E31" s="289">
        <f>M20</f>
        <v>1.9999999999999997E-2</v>
      </c>
      <c r="F31" s="289">
        <f>N20</f>
        <v>0.03</v>
      </c>
      <c r="G31" s="289">
        <f>O20</f>
        <v>0.04</v>
      </c>
      <c r="H31" s="289">
        <f>P20</f>
        <v>0.05</v>
      </c>
      <c r="I31" s="263"/>
      <c r="J31" s="258"/>
      <c r="K31" s="288"/>
      <c r="L31" s="266">
        <f>D31</f>
        <v>9.9999999999999967E-3</v>
      </c>
      <c r="M31" s="266">
        <f>E31</f>
        <v>1.9999999999999997E-2</v>
      </c>
      <c r="N31" s="266">
        <f>F31</f>
        <v>0.03</v>
      </c>
      <c r="O31" s="266">
        <f>G31</f>
        <v>0.04</v>
      </c>
      <c r="P31" s="266">
        <f>H31</f>
        <v>0.05</v>
      </c>
    </row>
    <row r="32" spans="2:16" ht="17.600000000000001" customHeight="1" outlineLevel="1">
      <c r="B32" s="717" t="s">
        <v>277</v>
      </c>
      <c r="C32" s="266">
        <f>K21</f>
        <v>8.3208870881690836E-2</v>
      </c>
      <c r="D32" s="274">
        <f t="shared" ref="D32:H36" si="3">D21-$O$12</f>
        <v>719321.18181960331</v>
      </c>
      <c r="E32" s="291">
        <f t="shared" si="3"/>
        <v>813668.57450039021</v>
      </c>
      <c r="F32" s="291">
        <f t="shared" si="3"/>
        <v>943478.99848306901</v>
      </c>
      <c r="G32" s="269">
        <f t="shared" si="3"/>
        <v>1133374.5028364474</v>
      </c>
      <c r="H32" s="270">
        <f t="shared" si="3"/>
        <v>1437634.3317282277</v>
      </c>
      <c r="I32" s="258"/>
      <c r="J32" s="717" t="s">
        <v>277</v>
      </c>
      <c r="K32" s="266">
        <f>C32</f>
        <v>8.3208870881690836E-2</v>
      </c>
      <c r="L32" s="292">
        <f t="shared" ref="L32:P36" si="4">L21/$O$14-1</f>
        <v>0.67553601206127567</v>
      </c>
      <c r="M32" s="293">
        <f t="shared" si="4"/>
        <v>0.89530217226367337</v>
      </c>
      <c r="N32" s="293">
        <f t="shared" si="4"/>
        <v>1.1976734156263742</v>
      </c>
      <c r="O32" s="293">
        <f t="shared" si="4"/>
        <v>1.6400026061386859</v>
      </c>
      <c r="P32" s="294">
        <f t="shared" si="4"/>
        <v>2.3487239857068332</v>
      </c>
    </row>
    <row r="33" spans="1:16" ht="17.600000000000001" customHeight="1" outlineLevel="1">
      <c r="B33" s="717"/>
      <c r="C33" s="266">
        <f>K22</f>
        <v>9.3208870881690831E-2</v>
      </c>
      <c r="D33" s="274">
        <f t="shared" si="3"/>
        <v>624338.34598637372</v>
      </c>
      <c r="E33" s="275">
        <f t="shared" si="3"/>
        <v>693189.20818767627</v>
      </c>
      <c r="F33" s="275">
        <f t="shared" si="3"/>
        <v>783825.26010710304</v>
      </c>
      <c r="G33" s="275">
        <f t="shared" si="3"/>
        <v>908529.33505259803</v>
      </c>
      <c r="H33" s="276">
        <f t="shared" si="3"/>
        <v>1090954.925233677</v>
      </c>
      <c r="I33" s="258"/>
      <c r="J33" s="717"/>
      <c r="K33" s="266">
        <f>C33</f>
        <v>9.3208870881690831E-2</v>
      </c>
      <c r="L33" s="295">
        <f t="shared" si="4"/>
        <v>0.45428969541076381</v>
      </c>
      <c r="M33" s="296">
        <f t="shared" si="4"/>
        <v>0.61466603632141181</v>
      </c>
      <c r="N33" s="296">
        <f t="shared" si="4"/>
        <v>0.82578726119330859</v>
      </c>
      <c r="O33" s="296">
        <f t="shared" si="4"/>
        <v>1.1162641353671132</v>
      </c>
      <c r="P33" s="297">
        <f t="shared" si="4"/>
        <v>1.5411934348168064</v>
      </c>
    </row>
    <row r="34" spans="1:16" ht="17.600000000000001" customHeight="1" outlineLevel="1">
      <c r="B34" s="717"/>
      <c r="C34" s="266">
        <f>K23</f>
        <v>0.10320887088169083</v>
      </c>
      <c r="D34" s="274">
        <f t="shared" si="3"/>
        <v>550157.35017367592</v>
      </c>
      <c r="E34" s="275">
        <f t="shared" si="3"/>
        <v>602126.50176550238</v>
      </c>
      <c r="F34" s="280">
        <f t="shared" si="3"/>
        <v>668293.15455245343</v>
      </c>
      <c r="G34" s="275">
        <f t="shared" si="3"/>
        <v>755395.68291003315</v>
      </c>
      <c r="H34" s="276">
        <f t="shared" si="3"/>
        <v>875238.06344423641</v>
      </c>
      <c r="I34" s="258"/>
      <c r="J34" s="717"/>
      <c r="K34" s="266">
        <f>C34</f>
        <v>0.10320887088169083</v>
      </c>
      <c r="L34" s="295">
        <f t="shared" si="4"/>
        <v>0.28149771731228923</v>
      </c>
      <c r="M34" s="296">
        <f t="shared" si="4"/>
        <v>0.40255099255174187</v>
      </c>
      <c r="N34" s="298">
        <f t="shared" si="4"/>
        <v>0.55667492542640917</v>
      </c>
      <c r="O34" s="296">
        <f t="shared" si="4"/>
        <v>0.75956540980715981</v>
      </c>
      <c r="P34" s="297">
        <f t="shared" si="4"/>
        <v>1.0387177960169782</v>
      </c>
    </row>
    <row r="35" spans="1:16" ht="17.600000000000001" customHeight="1" outlineLevel="1">
      <c r="B35" s="717"/>
      <c r="C35" s="266">
        <f>K24</f>
        <v>0.11320887088169082</v>
      </c>
      <c r="D35" s="274">
        <f t="shared" si="3"/>
        <v>490713.50276273926</v>
      </c>
      <c r="E35" s="275">
        <f t="shared" si="3"/>
        <v>530992.98247213813</v>
      </c>
      <c r="F35" s="275">
        <f t="shared" si="3"/>
        <v>580953.9971627458</v>
      </c>
      <c r="G35" s="275">
        <f t="shared" si="3"/>
        <v>644563.90824771207</v>
      </c>
      <c r="H35" s="276">
        <f t="shared" si="3"/>
        <v>728300.71297835815</v>
      </c>
      <c r="I35" s="258"/>
      <c r="J35" s="717"/>
      <c r="K35" s="266">
        <f>C35</f>
        <v>0.11320887088169082</v>
      </c>
      <c r="L35" s="295">
        <f t="shared" si="4"/>
        <v>0.14303341297948791</v>
      </c>
      <c r="M35" s="296">
        <f t="shared" si="4"/>
        <v>0.23685759125471484</v>
      </c>
      <c r="N35" s="296">
        <f t="shared" si="4"/>
        <v>0.35323325407264816</v>
      </c>
      <c r="O35" s="296">
        <f t="shared" si="4"/>
        <v>0.50140169320754069</v>
      </c>
      <c r="P35" s="297">
        <f t="shared" si="4"/>
        <v>0.69645229842706935</v>
      </c>
    </row>
    <row r="36" spans="1:16" ht="17.600000000000001" customHeight="1" outlineLevel="1">
      <c r="B36" s="717"/>
      <c r="C36" s="266">
        <f>K25</f>
        <v>0.12320887088169082</v>
      </c>
      <c r="D36" s="282">
        <f t="shared" si="3"/>
        <v>442085.89572457073</v>
      </c>
      <c r="E36" s="283">
        <f t="shared" si="3"/>
        <v>473979.1853885476</v>
      </c>
      <c r="F36" s="283">
        <f t="shared" si="3"/>
        <v>512715.87726570189</v>
      </c>
      <c r="G36" s="283">
        <f t="shared" si="3"/>
        <v>560763.28120196622</v>
      </c>
      <c r="H36" s="284">
        <f t="shared" si="3"/>
        <v>621936.80041841615</v>
      </c>
      <c r="I36" s="258"/>
      <c r="J36" s="717"/>
      <c r="K36" s="266">
        <f>C36</f>
        <v>0.12320887088169082</v>
      </c>
      <c r="L36" s="299">
        <f t="shared" si="4"/>
        <v>2.9763695873827434E-2</v>
      </c>
      <c r="M36" s="300">
        <f t="shared" si="4"/>
        <v>0.1040536747118157</v>
      </c>
      <c r="N36" s="300">
        <f t="shared" si="4"/>
        <v>0.19428419185592327</v>
      </c>
      <c r="O36" s="300">
        <f t="shared" si="4"/>
        <v>0.30620242478994997</v>
      </c>
      <c r="P36" s="301">
        <f t="shared" si="4"/>
        <v>0.44869570459634045</v>
      </c>
    </row>
    <row r="37" spans="1:16" ht="17.600000000000001" customHeight="1" outlineLevel="1">
      <c r="B37" s="290"/>
      <c r="C37" s="266"/>
      <c r="D37" s="302"/>
      <c r="E37" s="302"/>
      <c r="F37" s="302"/>
      <c r="G37" s="302"/>
      <c r="H37" s="302"/>
      <c r="I37" s="258"/>
      <c r="J37" s="290"/>
      <c r="K37" s="266"/>
      <c r="L37" s="303"/>
      <c r="M37" s="303"/>
      <c r="N37" s="303"/>
      <c r="O37" s="303"/>
      <c r="P37" s="303"/>
    </row>
    <row r="38" spans="1:16" ht="17.600000000000001" customHeight="1" outlineLevel="1"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  <c r="O38" s="305"/>
      <c r="P38" s="305"/>
    </row>
    <row r="39" spans="1:16" ht="17.600000000000001" customHeight="1"/>
    <row r="40" spans="1:16" ht="17.600000000000001" customHeight="1">
      <c r="A40" s="67" t="s">
        <v>132</v>
      </c>
      <c r="B40" s="21" t="s">
        <v>462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7.600000000000001" customHeight="1" outlineLevel="1">
      <c r="F41" s="30"/>
      <c r="G41" s="31"/>
      <c r="H41" s="30"/>
      <c r="I41" s="28"/>
      <c r="J41" s="63"/>
      <c r="K41" s="63"/>
      <c r="L41" s="34"/>
      <c r="M41" s="34"/>
      <c r="N41" s="34"/>
      <c r="O41" s="34"/>
    </row>
    <row r="42" spans="1:16" ht="17.600000000000001" customHeight="1" outlineLevel="1">
      <c r="D42" s="34" t="s">
        <v>403</v>
      </c>
      <c r="F42" s="306"/>
      <c r="I42" s="30"/>
      <c r="L42" s="228" t="s">
        <v>6</v>
      </c>
      <c r="M42" s="229"/>
      <c r="N42" s="229"/>
      <c r="O42" s="229"/>
    </row>
    <row r="43" spans="1:16" ht="17.600000000000001" customHeight="1" outlineLevel="1"/>
    <row r="44" spans="1:16" ht="17.600000000000001" customHeight="1" outlineLevel="1">
      <c r="D44" s="688" t="s">
        <v>480</v>
      </c>
      <c r="E44" s="689"/>
      <c r="F44" s="689"/>
      <c r="G44" s="689"/>
      <c r="H44" s="689"/>
      <c r="L44" s="688" t="s">
        <v>404</v>
      </c>
      <c r="M44" s="689"/>
      <c r="N44" s="689"/>
      <c r="O44" s="689"/>
    </row>
    <row r="45" spans="1:16" ht="17.600000000000001" customHeight="1" outlineLevel="1">
      <c r="B45" s="106"/>
      <c r="C45" s="106"/>
      <c r="D45" s="106"/>
      <c r="E45" s="106"/>
      <c r="F45" s="106"/>
      <c r="G45" s="106"/>
      <c r="H45" s="106"/>
      <c r="J45" s="230"/>
      <c r="K45" s="230"/>
      <c r="P45" s="106"/>
    </row>
    <row r="46" spans="1:16" ht="17.600000000000001" customHeight="1" outlineLevel="1">
      <c r="D46" s="106"/>
      <c r="E46" s="106"/>
      <c r="F46" s="232" t="s">
        <v>405</v>
      </c>
      <c r="G46" s="232" t="s">
        <v>99</v>
      </c>
      <c r="H46" s="232" t="s">
        <v>99</v>
      </c>
      <c r="I46" s="30"/>
      <c r="J46" s="233"/>
      <c r="K46" s="233"/>
    </row>
    <row r="47" spans="1:16" ht="17.600000000000001" customHeight="1" outlineLevel="1">
      <c r="D47" s="106"/>
      <c r="E47" s="106"/>
      <c r="F47" s="232" t="s">
        <v>406</v>
      </c>
      <c r="G47" s="232" t="s">
        <v>406</v>
      </c>
      <c r="H47" s="232" t="s">
        <v>407</v>
      </c>
      <c r="I47" s="233"/>
      <c r="J47" s="233"/>
      <c r="K47" s="233"/>
      <c r="L47" s="34" t="s">
        <v>397</v>
      </c>
      <c r="M47" s="34"/>
      <c r="N47" s="234"/>
      <c r="O47" s="307">
        <f>Inputs!F110</f>
        <v>16</v>
      </c>
    </row>
    <row r="48" spans="1:16" ht="17.600000000000001" customHeight="1" outlineLevel="1">
      <c r="F48" s="236">
        <f>Model!$J$368</f>
        <v>912518.59729774133</v>
      </c>
      <c r="G48" s="222"/>
      <c r="H48" s="222"/>
      <c r="I48" s="233"/>
      <c r="J48" s="233"/>
      <c r="K48" s="233"/>
      <c r="L48" s="34" t="s">
        <v>277</v>
      </c>
      <c r="N48" s="234"/>
      <c r="O48" s="235">
        <f>Inputs!F111</f>
        <v>0.10320887088169083</v>
      </c>
      <c r="P48" s="237"/>
    </row>
    <row r="49" spans="2:16" ht="17.600000000000001" customHeight="1" outlineLevel="1">
      <c r="B49" s="29"/>
      <c r="D49" s="38" t="str">
        <f>D12</f>
        <v>Best Case</v>
      </c>
      <c r="E49" s="238">
        <v>1</v>
      </c>
      <c r="F49" s="239">
        <f t="dataTable" ref="F49:F51" dt2D="0" dtr="0" r1="F5" ca="1"/>
        <v>962857.63099721679</v>
      </c>
      <c r="G49" s="240">
        <f>F49-$O$49</f>
        <v>995797.63099721679</v>
      </c>
      <c r="H49" s="241">
        <f>+G49/$O$50</f>
        <v>409.79326378486286</v>
      </c>
      <c r="I49" s="233"/>
      <c r="J49" s="243"/>
      <c r="K49" s="243"/>
      <c r="L49" s="34" t="s">
        <v>207</v>
      </c>
      <c r="N49" s="244" t="str">
        <f>N12</f>
        <v>(End of 2025)</v>
      </c>
      <c r="O49" s="245">
        <f>'Balance Sheet'!G69</f>
        <v>-32940</v>
      </c>
      <c r="P49" s="237"/>
    </row>
    <row r="50" spans="2:16" ht="17.600000000000001" customHeight="1" outlineLevel="1">
      <c r="B50" s="29"/>
      <c r="D50" s="38" t="str">
        <f>D13</f>
        <v>Base Case</v>
      </c>
      <c r="E50" s="238">
        <v>2</v>
      </c>
      <c r="F50" s="246">
        <v>912518.59729774133</v>
      </c>
      <c r="G50" s="247">
        <f>F50-$O$49</f>
        <v>945458.59729774133</v>
      </c>
      <c r="H50" s="248">
        <f>+G50/$O$50</f>
        <v>389.07761205668368</v>
      </c>
      <c r="I50" s="242"/>
      <c r="J50" s="243"/>
      <c r="K50" s="243"/>
      <c r="L50" s="34" t="s">
        <v>392</v>
      </c>
      <c r="M50" s="34"/>
      <c r="N50" s="244" t="s">
        <v>393</v>
      </c>
      <c r="O50" s="245">
        <f>Inputs!F107</f>
        <v>2430</v>
      </c>
      <c r="P50" s="237"/>
    </row>
    <row r="51" spans="2:16" ht="17.600000000000001" customHeight="1" outlineLevel="1">
      <c r="B51" s="32"/>
      <c r="C51" s="106"/>
      <c r="D51" s="38" t="str">
        <f>D14</f>
        <v>Worst Case</v>
      </c>
      <c r="E51" s="238">
        <v>3</v>
      </c>
      <c r="F51" s="250">
        <v>790770.29739020765</v>
      </c>
      <c r="G51" s="251">
        <f>F51-$O$49</f>
        <v>823710.29739020765</v>
      </c>
      <c r="H51" s="252">
        <f>+G51/$O$50</f>
        <v>338.97543102477681</v>
      </c>
      <c r="I51" s="242"/>
      <c r="J51" s="253"/>
      <c r="K51" s="106"/>
      <c r="L51" s="38" t="s">
        <v>412</v>
      </c>
      <c r="M51" s="254"/>
      <c r="N51" s="255" t="s">
        <v>413</v>
      </c>
      <c r="O51" s="308">
        <f>Inputs!F108</f>
        <v>176.67</v>
      </c>
      <c r="P51" s="237"/>
    </row>
    <row r="52" spans="2:16" ht="17.600000000000001" customHeight="1" outlineLevel="1">
      <c r="B52" s="91"/>
      <c r="C52" s="106"/>
      <c r="D52" s="106"/>
      <c r="E52" s="106"/>
      <c r="I52" s="253"/>
      <c r="J52" s="253"/>
      <c r="K52" s="106"/>
      <c r="L52" s="34"/>
      <c r="O52" s="234"/>
      <c r="P52" s="257"/>
    </row>
    <row r="53" spans="2:16" ht="17.600000000000001" customHeight="1" outlineLevel="1">
      <c r="D53" s="258"/>
      <c r="E53" s="258"/>
      <c r="F53" s="258"/>
      <c r="G53" s="258"/>
      <c r="H53" s="258"/>
      <c r="J53" s="258"/>
      <c r="K53" s="258"/>
      <c r="L53" s="258"/>
      <c r="M53" s="258"/>
      <c r="N53" s="258"/>
      <c r="O53" s="258"/>
      <c r="P53" s="258"/>
    </row>
    <row r="54" spans="2:16" ht="17.600000000000001" customHeight="1" outlineLevel="1">
      <c r="D54" s="691" t="s">
        <v>387</v>
      </c>
      <c r="E54" s="689"/>
      <c r="F54" s="689"/>
      <c r="G54" s="689"/>
      <c r="H54" s="689"/>
      <c r="I54" s="258"/>
      <c r="K54" s="258"/>
      <c r="L54" s="692" t="s">
        <v>414</v>
      </c>
      <c r="M54" s="693"/>
      <c r="N54" s="693"/>
      <c r="O54" s="693"/>
      <c r="P54" s="693"/>
    </row>
    <row r="55" spans="2:16" ht="17.600000000000001" customHeight="1" outlineLevel="1">
      <c r="K55" s="258"/>
      <c r="L55" s="258"/>
      <c r="M55" s="258"/>
      <c r="N55" s="258"/>
      <c r="O55" s="258"/>
      <c r="P55" s="258"/>
    </row>
    <row r="56" spans="2:16" ht="17.600000000000001" customHeight="1" outlineLevel="1">
      <c r="B56" s="260"/>
      <c r="C56" s="261"/>
      <c r="D56" s="262" t="s">
        <v>397</v>
      </c>
      <c r="E56" s="229"/>
      <c r="F56" s="229"/>
      <c r="G56" s="229"/>
      <c r="H56" s="229"/>
      <c r="K56" s="263"/>
      <c r="L56" s="264" t="s">
        <v>397</v>
      </c>
      <c r="M56" s="259"/>
      <c r="N56" s="259"/>
      <c r="O56" s="259"/>
      <c r="P56" s="259"/>
    </row>
    <row r="57" spans="2:16" ht="17.600000000000001" customHeight="1" outlineLevel="1">
      <c r="C57" s="265">
        <f>Model!J368</f>
        <v>912518.59729774133</v>
      </c>
      <c r="D57" s="309">
        <f>E57-0.5</f>
        <v>15</v>
      </c>
      <c r="E57" s="309">
        <f>F57-0.5</f>
        <v>15.5</v>
      </c>
      <c r="F57" s="309">
        <f>Inputs!F110</f>
        <v>16</v>
      </c>
      <c r="G57" s="309">
        <f>+F57+0.5</f>
        <v>16.5</v>
      </c>
      <c r="H57" s="309">
        <f>+G57+0.5</f>
        <v>17</v>
      </c>
      <c r="I57" s="260"/>
      <c r="K57" s="267"/>
      <c r="L57" s="309">
        <f>D57</f>
        <v>15</v>
      </c>
      <c r="M57" s="309">
        <f>E57</f>
        <v>15.5</v>
      </c>
      <c r="N57" s="309">
        <f>F57</f>
        <v>16</v>
      </c>
      <c r="O57" s="309">
        <f>G57</f>
        <v>16.5</v>
      </c>
      <c r="P57" s="309">
        <f>H57</f>
        <v>17</v>
      </c>
    </row>
    <row r="58" spans="2:16" ht="17.600000000000001" customHeight="1" outlineLevel="1">
      <c r="B58" s="718" t="s">
        <v>277</v>
      </c>
      <c r="C58" s="266">
        <f>C59-0.01</f>
        <v>8.3208870881690836E-2</v>
      </c>
      <c r="D58" s="268">
        <f t="dataTable" ref="D58:H62" dt2D="1" dtr="1" r1="O47" r2="O48"/>
        <v>948602.62349784374</v>
      </c>
      <c r="E58" s="269">
        <v>975878.47718123591</v>
      </c>
      <c r="F58" s="269">
        <v>1003154.330864628</v>
      </c>
      <c r="G58" s="269">
        <v>1030430.1845480201</v>
      </c>
      <c r="H58" s="270">
        <v>1057706.0382314122</v>
      </c>
      <c r="I58" s="258"/>
      <c r="J58" s="718" t="s">
        <v>277</v>
      </c>
      <c r="K58" s="266">
        <f>C58</f>
        <v>8.3208870881690836E-2</v>
      </c>
      <c r="L58" s="271">
        <f t="shared" ref="L58:P62" si="5">D69/$O$50</f>
        <v>403.9270055546682</v>
      </c>
      <c r="M58" s="272">
        <f t="shared" si="5"/>
        <v>415.15163670009707</v>
      </c>
      <c r="N58" s="272">
        <f t="shared" si="5"/>
        <v>426.37626784552589</v>
      </c>
      <c r="O58" s="272">
        <f t="shared" si="5"/>
        <v>437.60089899095476</v>
      </c>
      <c r="P58" s="273">
        <f t="shared" si="5"/>
        <v>448.82553013638363</v>
      </c>
    </row>
    <row r="59" spans="2:16" ht="17.600000000000001" customHeight="1" outlineLevel="1">
      <c r="B59" s="718"/>
      <c r="C59" s="266">
        <f>C60-0.01</f>
        <v>9.3208870881690831E-2</v>
      </c>
      <c r="D59" s="274">
        <v>904610.82975596481</v>
      </c>
      <c r="E59" s="275">
        <v>930574.0459472395</v>
      </c>
      <c r="F59" s="275">
        <v>956537.26213851408</v>
      </c>
      <c r="G59" s="275">
        <v>982500.47832978866</v>
      </c>
      <c r="H59" s="276">
        <v>1008463.6945210634</v>
      </c>
      <c r="I59" s="258"/>
      <c r="J59" s="718"/>
      <c r="K59" s="266">
        <f>C59</f>
        <v>9.3208870881690831E-2</v>
      </c>
      <c r="L59" s="277">
        <f t="shared" si="5"/>
        <v>385.82338673084973</v>
      </c>
      <c r="M59" s="278">
        <f t="shared" si="5"/>
        <v>396.50783783837016</v>
      </c>
      <c r="N59" s="278">
        <f t="shared" si="5"/>
        <v>407.1922889458906</v>
      </c>
      <c r="O59" s="278">
        <f t="shared" si="5"/>
        <v>417.87674005341097</v>
      </c>
      <c r="P59" s="279">
        <f t="shared" si="5"/>
        <v>428.5611911609314</v>
      </c>
    </row>
    <row r="60" spans="2:16" ht="17.600000000000001" customHeight="1" outlineLevel="1">
      <c r="B60" s="718"/>
      <c r="C60" s="266">
        <f>Inputs!F111</f>
        <v>0.10320887088169083</v>
      </c>
      <c r="D60" s="274">
        <v>863068.89638296573</v>
      </c>
      <c r="E60" s="275">
        <v>887793.74684035359</v>
      </c>
      <c r="F60" s="280">
        <v>912518.59729774133</v>
      </c>
      <c r="G60" s="275">
        <v>937243.44775512908</v>
      </c>
      <c r="H60" s="276">
        <v>961968.29821251682</v>
      </c>
      <c r="I60" s="258"/>
      <c r="J60" s="718"/>
      <c r="K60" s="266">
        <f>C60</f>
        <v>0.10320887088169083</v>
      </c>
      <c r="L60" s="277">
        <f t="shared" si="5"/>
        <v>368.7279408983398</v>
      </c>
      <c r="M60" s="278">
        <f t="shared" si="5"/>
        <v>378.90277647751179</v>
      </c>
      <c r="N60" s="281">
        <f t="shared" si="5"/>
        <v>389.07761205668368</v>
      </c>
      <c r="O60" s="278">
        <f t="shared" si="5"/>
        <v>399.25244763585556</v>
      </c>
      <c r="P60" s="279">
        <f t="shared" si="5"/>
        <v>409.4272832150275</v>
      </c>
    </row>
    <row r="61" spans="2:16" ht="17.600000000000001" customHeight="1" outlineLevel="1">
      <c r="B61" s="718"/>
      <c r="C61" s="266">
        <f>C60+0.01</f>
        <v>0.11320887088169082</v>
      </c>
      <c r="D61" s="274">
        <v>823819.32177984016</v>
      </c>
      <c r="E61" s="275">
        <v>847375.25875390926</v>
      </c>
      <c r="F61" s="275">
        <v>870931.19572797813</v>
      </c>
      <c r="G61" s="275">
        <v>894487.13270204724</v>
      </c>
      <c r="H61" s="276">
        <v>918043.06967611634</v>
      </c>
      <c r="I61" s="258"/>
      <c r="J61" s="718"/>
      <c r="K61" s="266">
        <f>C61</f>
        <v>0.11320887088169082</v>
      </c>
      <c r="L61" s="277">
        <f t="shared" si="5"/>
        <v>352.57585258429634</v>
      </c>
      <c r="M61" s="278">
        <f t="shared" si="5"/>
        <v>362.26965380819314</v>
      </c>
      <c r="N61" s="278">
        <f t="shared" si="5"/>
        <v>371.96345503208977</v>
      </c>
      <c r="O61" s="278">
        <f t="shared" si="5"/>
        <v>381.65725625598651</v>
      </c>
      <c r="P61" s="279">
        <f t="shared" si="5"/>
        <v>391.35105747988325</v>
      </c>
    </row>
    <row r="62" spans="2:16" ht="17.600000000000001" customHeight="1" outlineLevel="1">
      <c r="B62" s="718"/>
      <c r="C62" s="266">
        <f>C61+0.01</f>
        <v>0.12320887088169082</v>
      </c>
      <c r="D62" s="282">
        <v>786716.03983649099</v>
      </c>
      <c r="E62" s="283">
        <v>809168.0481484686</v>
      </c>
      <c r="F62" s="283">
        <v>831620.05646044621</v>
      </c>
      <c r="G62" s="283">
        <v>854072.06477242406</v>
      </c>
      <c r="H62" s="284">
        <v>876524.07308440167</v>
      </c>
      <c r="I62" s="258"/>
      <c r="J62" s="718"/>
      <c r="K62" s="266">
        <f>C62</f>
        <v>0.12320887088169082</v>
      </c>
      <c r="L62" s="285">
        <f t="shared" si="5"/>
        <v>337.30701227839137</v>
      </c>
      <c r="M62" s="286">
        <f t="shared" si="5"/>
        <v>346.54652187179778</v>
      </c>
      <c r="N62" s="286">
        <f t="shared" si="5"/>
        <v>355.78603146520419</v>
      </c>
      <c r="O62" s="286">
        <f t="shared" si="5"/>
        <v>365.02554105861071</v>
      </c>
      <c r="P62" s="287">
        <f t="shared" si="5"/>
        <v>374.26505065201712</v>
      </c>
    </row>
    <row r="63" spans="2:16" ht="17.600000000000001" customHeight="1" outlineLevel="1">
      <c r="C63" s="258"/>
      <c r="D63" s="258"/>
      <c r="E63" s="258"/>
      <c r="F63" s="258"/>
      <c r="G63" s="258"/>
      <c r="H63" s="258"/>
      <c r="I63" s="258"/>
    </row>
    <row r="64" spans="2:16" ht="17.600000000000001" customHeight="1" outlineLevel="1">
      <c r="C64" s="258"/>
      <c r="D64" s="258"/>
      <c r="E64" s="258"/>
      <c r="F64" s="258"/>
      <c r="G64" s="258"/>
      <c r="H64" s="258"/>
      <c r="I64" s="258"/>
      <c r="J64" s="258"/>
      <c r="K64" s="258"/>
      <c r="L64" s="258"/>
      <c r="M64" s="258"/>
      <c r="N64" s="258"/>
      <c r="O64" s="258"/>
      <c r="P64" s="258"/>
    </row>
    <row r="65" spans="1:16" ht="17.600000000000001" customHeight="1" outlineLevel="1">
      <c r="D65" s="691" t="s">
        <v>390</v>
      </c>
      <c r="E65" s="689"/>
      <c r="F65" s="689"/>
      <c r="G65" s="689"/>
      <c r="H65" s="689"/>
      <c r="I65" s="258"/>
      <c r="J65" s="258"/>
      <c r="K65" s="258"/>
      <c r="L65" s="692" t="s">
        <v>415</v>
      </c>
      <c r="M65" s="693"/>
      <c r="N65" s="693"/>
      <c r="O65" s="693"/>
      <c r="P65" s="693"/>
    </row>
    <row r="66" spans="1:16" ht="17.600000000000001" customHeight="1" outlineLevel="1">
      <c r="J66" s="258"/>
      <c r="K66" s="258"/>
      <c r="L66" s="258"/>
      <c r="M66" s="258"/>
      <c r="N66" s="258"/>
      <c r="O66" s="258"/>
      <c r="P66" s="258"/>
    </row>
    <row r="67" spans="1:16" ht="17.600000000000001" customHeight="1" outlineLevel="1">
      <c r="B67" s="260"/>
      <c r="C67" s="260"/>
      <c r="D67" s="262" t="s">
        <v>397</v>
      </c>
      <c r="E67" s="229"/>
      <c r="F67" s="229"/>
      <c r="G67" s="229"/>
      <c r="H67" s="229"/>
      <c r="J67" s="263"/>
      <c r="K67" s="263"/>
      <c r="L67" s="264" t="s">
        <v>397</v>
      </c>
      <c r="M67" s="259"/>
      <c r="N67" s="259"/>
      <c r="O67" s="259"/>
      <c r="P67" s="259"/>
    </row>
    <row r="68" spans="1:16" ht="17.600000000000001" customHeight="1" outlineLevel="1">
      <c r="B68" s="258"/>
      <c r="C68" s="288"/>
      <c r="D68" s="309">
        <f>D57</f>
        <v>15</v>
      </c>
      <c r="E68" s="309">
        <f>E57</f>
        <v>15.5</v>
      </c>
      <c r="F68" s="309">
        <f>F57</f>
        <v>16</v>
      </c>
      <c r="G68" s="309">
        <f>G57</f>
        <v>16.5</v>
      </c>
      <c r="H68" s="309">
        <f>H57</f>
        <v>17</v>
      </c>
      <c r="I68" s="260"/>
      <c r="J68" s="258"/>
      <c r="K68" s="288"/>
      <c r="L68" s="309">
        <f>D68</f>
        <v>15</v>
      </c>
      <c r="M68" s="309">
        <f>E68</f>
        <v>15.5</v>
      </c>
      <c r="N68" s="309">
        <f>F68</f>
        <v>16</v>
      </c>
      <c r="O68" s="309">
        <f>G68</f>
        <v>16.5</v>
      </c>
      <c r="P68" s="309">
        <f>H68</f>
        <v>17</v>
      </c>
    </row>
    <row r="69" spans="1:16" ht="17.600000000000001" customHeight="1" outlineLevel="1">
      <c r="B69" s="717" t="s">
        <v>277</v>
      </c>
      <c r="C69" s="266">
        <f>C58</f>
        <v>8.3208870881690836E-2</v>
      </c>
      <c r="D69" s="268">
        <f t="shared" ref="D69:H73" si="6">D58-$O$49</f>
        <v>981542.62349784374</v>
      </c>
      <c r="E69" s="269">
        <f t="shared" si="6"/>
        <v>1008818.4771812359</v>
      </c>
      <c r="F69" s="269">
        <f t="shared" si="6"/>
        <v>1036094.330864628</v>
      </c>
      <c r="G69" s="269">
        <f t="shared" si="6"/>
        <v>1063370.1845480201</v>
      </c>
      <c r="H69" s="270">
        <f t="shared" si="6"/>
        <v>1090646.0382314122</v>
      </c>
      <c r="J69" s="717" t="s">
        <v>277</v>
      </c>
      <c r="K69" s="266">
        <f>C69</f>
        <v>8.3208870881690836E-2</v>
      </c>
      <c r="L69" s="292">
        <f t="shared" ref="L69:P73" si="7">L58/$O$51-1</f>
        <v>1.286336138306833</v>
      </c>
      <c r="M69" s="293">
        <f t="shared" si="7"/>
        <v>1.3498705875366337</v>
      </c>
      <c r="N69" s="293">
        <f t="shared" si="7"/>
        <v>1.4134050367664339</v>
      </c>
      <c r="O69" s="293">
        <f t="shared" si="7"/>
        <v>1.4769394859962346</v>
      </c>
      <c r="P69" s="294">
        <f t="shared" si="7"/>
        <v>1.5404739352260353</v>
      </c>
    </row>
    <row r="70" spans="1:16" ht="17.600000000000001" customHeight="1" outlineLevel="1">
      <c r="B70" s="717"/>
      <c r="C70" s="266">
        <f>C59</f>
        <v>9.3208870881690831E-2</v>
      </c>
      <c r="D70" s="274">
        <f t="shared" si="6"/>
        <v>937550.82975596481</v>
      </c>
      <c r="E70" s="275">
        <f t="shared" si="6"/>
        <v>963514.0459472395</v>
      </c>
      <c r="F70" s="275">
        <f t="shared" si="6"/>
        <v>989477.26213851408</v>
      </c>
      <c r="G70" s="275">
        <f t="shared" si="6"/>
        <v>1015440.4783297887</v>
      </c>
      <c r="H70" s="276">
        <f t="shared" si="6"/>
        <v>1041403.6945210634</v>
      </c>
      <c r="J70" s="717"/>
      <c r="K70" s="266">
        <f>C70</f>
        <v>9.3208870881690831E-2</v>
      </c>
      <c r="L70" s="295">
        <f t="shared" si="7"/>
        <v>1.1838647576320245</v>
      </c>
      <c r="M70" s="296">
        <f t="shared" si="7"/>
        <v>1.2443416416956485</v>
      </c>
      <c r="N70" s="296">
        <f t="shared" si="7"/>
        <v>1.3048185257592722</v>
      </c>
      <c r="O70" s="296">
        <f t="shared" si="7"/>
        <v>1.3652954098228958</v>
      </c>
      <c r="P70" s="297">
        <f t="shared" si="7"/>
        <v>1.4257722938865198</v>
      </c>
    </row>
    <row r="71" spans="1:16" ht="17.600000000000001" customHeight="1" outlineLevel="1">
      <c r="B71" s="717"/>
      <c r="C71" s="266">
        <f>C60</f>
        <v>0.10320887088169083</v>
      </c>
      <c r="D71" s="274">
        <f t="shared" si="6"/>
        <v>896008.89638296573</v>
      </c>
      <c r="E71" s="275">
        <f t="shared" si="6"/>
        <v>920733.74684035359</v>
      </c>
      <c r="F71" s="280">
        <f t="shared" si="6"/>
        <v>945458.59729774133</v>
      </c>
      <c r="G71" s="275">
        <f t="shared" si="6"/>
        <v>970183.44775512908</v>
      </c>
      <c r="H71" s="276">
        <f t="shared" si="6"/>
        <v>994908.29821251682</v>
      </c>
      <c r="J71" s="717"/>
      <c r="K71" s="266">
        <f>C71</f>
        <v>0.10320887088169083</v>
      </c>
      <c r="L71" s="295">
        <f t="shared" si="7"/>
        <v>1.0870999088602469</v>
      </c>
      <c r="M71" s="296">
        <f t="shared" si="7"/>
        <v>1.1446922311513661</v>
      </c>
      <c r="N71" s="298">
        <f t="shared" si="7"/>
        <v>1.2022845534424844</v>
      </c>
      <c r="O71" s="296">
        <f t="shared" si="7"/>
        <v>1.2598768757336027</v>
      </c>
      <c r="P71" s="297">
        <f t="shared" si="7"/>
        <v>1.3174691980247215</v>
      </c>
    </row>
    <row r="72" spans="1:16" ht="17.600000000000001" customHeight="1" outlineLevel="1">
      <c r="B72" s="717"/>
      <c r="C72" s="266">
        <f>C61</f>
        <v>0.11320887088169082</v>
      </c>
      <c r="D72" s="274">
        <f t="shared" si="6"/>
        <v>856759.32177984016</v>
      </c>
      <c r="E72" s="275">
        <f t="shared" si="6"/>
        <v>880315.25875390926</v>
      </c>
      <c r="F72" s="275">
        <f t="shared" si="6"/>
        <v>903871.19572797813</v>
      </c>
      <c r="G72" s="275">
        <f t="shared" si="6"/>
        <v>927427.13270204724</v>
      </c>
      <c r="H72" s="276">
        <f t="shared" si="6"/>
        <v>950983.06967611634</v>
      </c>
      <c r="J72" s="717"/>
      <c r="K72" s="266">
        <f>C72</f>
        <v>0.11320887088169082</v>
      </c>
      <c r="L72" s="295">
        <f t="shared" si="7"/>
        <v>0.99567471887867987</v>
      </c>
      <c r="M72" s="296">
        <f t="shared" si="7"/>
        <v>1.0505442565698373</v>
      </c>
      <c r="N72" s="296">
        <f t="shared" si="7"/>
        <v>1.1054137942609938</v>
      </c>
      <c r="O72" s="296">
        <f t="shared" si="7"/>
        <v>1.1602833319521513</v>
      </c>
      <c r="P72" s="297">
        <f t="shared" si="7"/>
        <v>1.2151528696433083</v>
      </c>
    </row>
    <row r="73" spans="1:16" ht="17.600000000000001" customHeight="1" outlineLevel="1">
      <c r="B73" s="717"/>
      <c r="C73" s="266">
        <f>C62</f>
        <v>0.12320887088169082</v>
      </c>
      <c r="D73" s="282">
        <f t="shared" si="6"/>
        <v>819656.03983649099</v>
      </c>
      <c r="E73" s="283">
        <f t="shared" si="6"/>
        <v>842108.0481484686</v>
      </c>
      <c r="F73" s="283">
        <f t="shared" si="6"/>
        <v>864560.05646044621</v>
      </c>
      <c r="G73" s="283">
        <f t="shared" si="6"/>
        <v>887012.06477242406</v>
      </c>
      <c r="H73" s="284">
        <f t="shared" si="6"/>
        <v>909464.07308440167</v>
      </c>
      <c r="J73" s="717"/>
      <c r="K73" s="266">
        <f>C73</f>
        <v>0.12320887088169082</v>
      </c>
      <c r="L73" s="299">
        <f t="shared" si="7"/>
        <v>0.9092489515955815</v>
      </c>
      <c r="M73" s="300">
        <f t="shared" si="7"/>
        <v>0.96154707574459608</v>
      </c>
      <c r="N73" s="300">
        <f t="shared" si="7"/>
        <v>1.0138451998936109</v>
      </c>
      <c r="O73" s="300">
        <f t="shared" si="7"/>
        <v>1.0661433240426259</v>
      </c>
      <c r="P73" s="301">
        <f t="shared" si="7"/>
        <v>1.1184414481916405</v>
      </c>
    </row>
    <row r="74" spans="1:16" ht="17.600000000000001" customHeight="1" outlineLevel="1">
      <c r="B74" s="290"/>
      <c r="C74" s="266"/>
      <c r="D74" s="302"/>
      <c r="E74" s="302"/>
      <c r="F74" s="302"/>
      <c r="G74" s="302"/>
      <c r="H74" s="302"/>
      <c r="J74" s="290"/>
      <c r="K74" s="266"/>
      <c r="L74" s="303"/>
      <c r="M74" s="303"/>
      <c r="N74" s="303"/>
      <c r="O74" s="303"/>
      <c r="P74" s="303"/>
    </row>
    <row r="75" spans="1:16" ht="17.600000000000001" customHeight="1" outlineLevel="1">
      <c r="B75" s="305"/>
      <c r="C75" s="305"/>
      <c r="D75" s="305"/>
      <c r="E75" s="305"/>
      <c r="F75" s="305"/>
      <c r="G75" s="305"/>
      <c r="H75" s="305"/>
      <c r="I75" s="305"/>
      <c r="J75" s="305"/>
      <c r="K75" s="305"/>
      <c r="L75" s="305"/>
      <c r="M75" s="305"/>
      <c r="N75" s="305"/>
      <c r="O75" s="305"/>
      <c r="P75" s="305" t="s">
        <v>132</v>
      </c>
    </row>
    <row r="76" spans="1:16" ht="17.600000000000001" customHeight="1"/>
    <row r="77" spans="1:16" ht="17.600000000000001" customHeight="1">
      <c r="A77" s="67" t="s">
        <v>132</v>
      </c>
      <c r="B77" s="21" t="s">
        <v>481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16" ht="17.600000000000001" customHeight="1" outlineLevel="1"/>
    <row r="79" spans="1:16" ht="17.600000000000001" customHeight="1" outlineLevel="1"/>
    <row r="80" spans="1:16" ht="17.600000000000001" customHeight="1" outlineLevel="1">
      <c r="L80" s="310"/>
      <c r="M80" s="311"/>
      <c r="N80" s="312" t="s">
        <v>463</v>
      </c>
      <c r="O80" s="312" t="s">
        <v>465</v>
      </c>
      <c r="P80" s="313" t="s">
        <v>464</v>
      </c>
    </row>
    <row r="81" spans="12:16" ht="8.15" customHeight="1" outlineLevel="1">
      <c r="L81" s="314"/>
      <c r="N81" s="315"/>
      <c r="O81" s="315"/>
      <c r="P81" s="316"/>
    </row>
    <row r="82" spans="12:16" ht="17.600000000000001" customHeight="1" outlineLevel="1">
      <c r="L82" s="314"/>
      <c r="P82" s="317"/>
    </row>
    <row r="83" spans="12:16" ht="17.600000000000001" customHeight="1" outlineLevel="1">
      <c r="L83" s="314" t="s">
        <v>456</v>
      </c>
      <c r="N83" s="318">
        <f>Model!P414</f>
        <v>104.1755045362444</v>
      </c>
      <c r="O83" s="318">
        <f>Model!O414</f>
        <v>94.88831129292754</v>
      </c>
      <c r="P83" s="319">
        <f>Model!N414</f>
        <v>55.704033068401259</v>
      </c>
    </row>
    <row r="84" spans="12:16" ht="17.600000000000001" customHeight="1" outlineLevel="1">
      <c r="L84" s="314" t="s">
        <v>459</v>
      </c>
      <c r="N84" s="320">
        <f>H12</f>
        <v>279.74701113785181</v>
      </c>
      <c r="O84" s="320">
        <f>H13</f>
        <v>275.01775907508369</v>
      </c>
      <c r="P84" s="321">
        <f>H14</f>
        <v>251.02157637053702</v>
      </c>
    </row>
    <row r="85" spans="12:16" ht="17.600000000000001" customHeight="1" outlineLevel="1">
      <c r="L85" s="314" t="s">
        <v>460</v>
      </c>
      <c r="N85" s="320">
        <f>H49</f>
        <v>409.79326378486286</v>
      </c>
      <c r="O85" s="320">
        <f>H50</f>
        <v>389.07761205668368</v>
      </c>
      <c r="P85" s="321">
        <f>H51</f>
        <v>338.97543102477681</v>
      </c>
    </row>
    <row r="86" spans="12:16" ht="17.600000000000001" customHeight="1" outlineLevel="1">
      <c r="L86" s="322" t="s">
        <v>461</v>
      </c>
      <c r="M86" s="315"/>
      <c r="N86" s="323">
        <v>184.48</v>
      </c>
      <c r="O86" s="323">
        <v>176.67</v>
      </c>
      <c r="P86" s="324">
        <v>86.62</v>
      </c>
    </row>
    <row r="87" spans="12:16" ht="17.600000000000001" customHeight="1" outlineLevel="1"/>
    <row r="88" spans="12:16" ht="17.600000000000001" customHeight="1" outlineLevel="1"/>
    <row r="89" spans="12:16" ht="17.600000000000001" customHeight="1" outlineLevel="1"/>
    <row r="90" spans="12:16" ht="17.600000000000001" customHeight="1" outlineLevel="1"/>
    <row r="91" spans="12:16" ht="17.600000000000001" customHeight="1" outlineLevel="1"/>
    <row r="92" spans="12:16" ht="17.600000000000001" customHeight="1"/>
    <row r="93" spans="12:16" ht="17.600000000000001" customHeight="1"/>
    <row r="94" spans="12:16" ht="17.600000000000001" customHeight="1"/>
    <row r="95" spans="12:16" ht="17.600000000000001" customHeight="1"/>
    <row r="96" spans="12:16" ht="17.600000000000001" customHeight="1"/>
    <row r="97" ht="17.600000000000001" customHeight="1"/>
    <row r="98" ht="17.600000000000001" customHeight="1"/>
    <row r="99" ht="17.600000000000001" customHeight="1"/>
    <row r="100" ht="17.600000000000001" customHeight="1"/>
    <row r="101" ht="17.600000000000001" customHeight="1"/>
    <row r="102" ht="17.600000000000001" customHeight="1"/>
    <row r="103" ht="17.600000000000001" customHeight="1"/>
    <row r="104" ht="17.600000000000001" customHeight="1"/>
    <row r="105" ht="17.600000000000001" customHeight="1"/>
    <row r="106" ht="17.600000000000001" customHeight="1"/>
    <row r="107" ht="17.600000000000001" customHeight="1"/>
    <row r="108" ht="17.600000000000001" customHeight="1"/>
    <row r="109" ht="17.600000000000001" customHeight="1"/>
    <row r="110" ht="17.600000000000001" customHeight="1"/>
    <row r="111" ht="17.600000000000001" customHeight="1"/>
    <row r="112" ht="17.600000000000001" customHeight="1"/>
    <row r="113" ht="17.600000000000001" customHeight="1"/>
    <row r="114" ht="17.600000000000001" customHeight="1"/>
    <row r="115" ht="17.600000000000001" customHeight="1"/>
    <row r="116" ht="17.600000000000001" customHeight="1"/>
    <row r="117" ht="17.600000000000001" customHeight="1"/>
    <row r="118" ht="17.600000000000001" customHeight="1"/>
    <row r="119" ht="17.600000000000001" customHeight="1"/>
    <row r="120" ht="17.600000000000001" customHeight="1"/>
    <row r="121" ht="17.600000000000001" customHeight="1"/>
    <row r="122" ht="17.600000000000001" customHeight="1"/>
    <row r="123" ht="17.600000000000001" customHeight="1"/>
    <row r="124" ht="17.600000000000001" customHeight="1"/>
    <row r="125" ht="17.600000000000001" customHeight="1"/>
    <row r="126" ht="17.600000000000001" customHeight="1"/>
    <row r="127" ht="17.600000000000001" customHeight="1"/>
    <row r="128" ht="17.600000000000001" customHeight="1"/>
    <row r="129" ht="17.600000000000001" customHeight="1"/>
    <row r="130" ht="17.600000000000001" customHeight="1"/>
  </sheetData>
  <mergeCells count="8">
    <mergeCell ref="B69:B73"/>
    <mergeCell ref="J69:J73"/>
    <mergeCell ref="B21:B25"/>
    <mergeCell ref="J21:J25"/>
    <mergeCell ref="B32:B36"/>
    <mergeCell ref="J32:J36"/>
    <mergeCell ref="B58:B62"/>
    <mergeCell ref="J58:J6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3" name="Drop Down 10">
              <controlPr defaultSize="0" autoLine="0" autoPict="0">
                <anchor moveWithCells="1">
                  <from>
                    <xdr:col>4</xdr:col>
                    <xdr:colOff>745671</xdr:colOff>
                    <xdr:row>4</xdr:row>
                    <xdr:rowOff>32657</xdr:rowOff>
                  </from>
                  <to>
                    <xdr:col>5</xdr:col>
                    <xdr:colOff>723900</xdr:colOff>
                    <xdr:row>5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4" name="Drop Down 12">
              <controlPr defaultSize="0" autoLine="0" autoPict="0">
                <anchor moveWithCells="1">
                  <from>
                    <xdr:col>4</xdr:col>
                    <xdr:colOff>696686</xdr:colOff>
                    <xdr:row>41</xdr:row>
                    <xdr:rowOff>0</xdr:rowOff>
                  </from>
                  <to>
                    <xdr:col>5</xdr:col>
                    <xdr:colOff>674914</xdr:colOff>
                    <xdr:row>41</xdr:row>
                    <xdr:rowOff>212271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980B-6486-41C7-8D88-CC0391A57A93}">
  <dimension ref="A1:M129"/>
  <sheetViews>
    <sheetView showGridLines="0" zoomScaleNormal="100" workbookViewId="0"/>
  </sheetViews>
  <sheetFormatPr defaultRowHeight="17.600000000000001" outlineLevelRow="1"/>
  <cols>
    <col min="1" max="1" width="3.61328125" style="1" customWidth="1"/>
    <col min="2" max="2" width="12.4609375" style="1" customWidth="1"/>
    <col min="3" max="3" width="16.3046875" style="1" customWidth="1"/>
    <col min="4" max="4" width="6.23046875" style="1" customWidth="1"/>
    <col min="5" max="5" width="12.765625" style="1" customWidth="1"/>
    <col min="6" max="6" width="12.4609375" style="1" customWidth="1"/>
    <col min="7" max="11" width="15.15234375" style="1" customWidth="1"/>
    <col min="12" max="12" width="13.765625" style="1" customWidth="1"/>
    <col min="13" max="13" width="12.69140625" style="1" customWidth="1"/>
    <col min="14" max="16384" width="9.23046875" style="1"/>
  </cols>
  <sheetData>
    <row r="1" spans="1:12" ht="58.85" customHeight="1">
      <c r="B1" s="2"/>
      <c r="C1" s="2"/>
      <c r="D1" s="2"/>
      <c r="E1" s="7" t="s">
        <v>25</v>
      </c>
      <c r="F1" s="20"/>
      <c r="G1" s="2"/>
      <c r="H1" s="2"/>
      <c r="I1" s="2"/>
      <c r="J1" s="2"/>
      <c r="K1" s="2"/>
      <c r="L1" s="2"/>
    </row>
    <row r="2" spans="1:12" ht="17.600000000000001" customHeight="1"/>
    <row r="3" spans="1:12" ht="17.600000000000001" customHeight="1">
      <c r="A3" s="1" t="s">
        <v>132</v>
      </c>
      <c r="B3" s="21" t="s">
        <v>240</v>
      </c>
      <c r="C3" s="21"/>
      <c r="D3" s="22"/>
      <c r="E3" s="22"/>
      <c r="F3" s="22"/>
      <c r="G3" s="23"/>
      <c r="H3" s="24"/>
      <c r="I3" s="24"/>
      <c r="J3" s="24"/>
      <c r="K3" s="24"/>
      <c r="L3" s="24"/>
    </row>
    <row r="4" spans="1:12" ht="17.600000000000001" customHeight="1" outlineLevel="1">
      <c r="B4" s="25"/>
      <c r="C4" s="26"/>
      <c r="D4" s="27"/>
      <c r="E4" s="27"/>
      <c r="F4" s="28"/>
      <c r="G4" s="28"/>
      <c r="H4" s="28"/>
      <c r="I4" s="28"/>
      <c r="J4" s="28"/>
      <c r="K4" s="28"/>
      <c r="L4" s="28"/>
    </row>
    <row r="5" spans="1:12" ht="17.600000000000001" customHeight="1" outlineLevel="1" thickBot="1">
      <c r="B5" s="29" t="s">
        <v>6</v>
      </c>
      <c r="C5" s="26"/>
      <c r="D5" s="30"/>
      <c r="E5" s="30"/>
      <c r="F5" s="31"/>
      <c r="G5" s="144" t="str">
        <f>Model!K5</f>
        <v>2026F</v>
      </c>
      <c r="H5" s="144" t="str">
        <f>Model!L5</f>
        <v>2027F</v>
      </c>
      <c r="I5" s="144" t="str">
        <f>Model!M5</f>
        <v>2028F</v>
      </c>
      <c r="J5" s="144" t="str">
        <f>Model!N5</f>
        <v>2029F</v>
      </c>
      <c r="K5" s="144" t="str">
        <f>Model!O5</f>
        <v>2030F</v>
      </c>
      <c r="L5" s="144" t="str">
        <f>Model!P5</f>
        <v>Term</v>
      </c>
    </row>
    <row r="6" spans="1:12" ht="17.600000000000001" customHeight="1" outlineLevel="1">
      <c r="B6" s="32"/>
      <c r="C6" s="33"/>
      <c r="D6" s="34"/>
      <c r="E6" s="34"/>
      <c r="F6" s="34"/>
      <c r="G6" s="34"/>
      <c r="H6" s="34"/>
      <c r="I6" s="35"/>
      <c r="J6" s="36"/>
      <c r="K6" s="33"/>
      <c r="L6" s="33"/>
    </row>
    <row r="7" spans="1:12" ht="17.600000000000001" customHeight="1" outlineLevel="1">
      <c r="B7" s="37" t="s">
        <v>242</v>
      </c>
      <c r="C7" s="33"/>
      <c r="D7" s="666">
        <f>Outputs!F5</f>
        <v>2</v>
      </c>
      <c r="E7" s="34"/>
      <c r="F7" s="34"/>
      <c r="G7" s="34"/>
      <c r="H7" s="34"/>
      <c r="I7" s="35"/>
      <c r="J7" s="36"/>
      <c r="K7" s="33"/>
      <c r="L7" s="33"/>
    </row>
    <row r="8" spans="1:12" ht="17.600000000000001" customHeight="1" outlineLevel="1">
      <c r="B8" s="33"/>
      <c r="C8" s="34"/>
      <c r="D8" s="34"/>
      <c r="E8" s="34"/>
      <c r="F8" s="34"/>
      <c r="G8" s="34"/>
      <c r="H8" s="35"/>
      <c r="I8" s="36"/>
      <c r="J8" s="33"/>
      <c r="K8" s="33"/>
      <c r="L8" s="33"/>
    </row>
    <row r="9" spans="1:12" ht="17.600000000000001" customHeight="1" outlineLevel="1">
      <c r="B9" s="33"/>
      <c r="C9" s="34"/>
      <c r="D9" s="34"/>
      <c r="E9" s="34"/>
      <c r="F9" s="34"/>
      <c r="G9" s="34"/>
      <c r="H9" s="35"/>
      <c r="I9" s="36"/>
      <c r="J9" s="33"/>
      <c r="K9" s="33"/>
      <c r="L9" s="33"/>
    </row>
    <row r="10" spans="1:12" ht="17.600000000000001" customHeight="1" outlineLevel="1">
      <c r="B10" s="37" t="s">
        <v>263</v>
      </c>
      <c r="C10" s="33"/>
      <c r="D10" s="38"/>
      <c r="E10" s="38"/>
      <c r="F10" s="38"/>
      <c r="G10" s="39" cm="1">
        <f t="array" ref="G10">INDEX(G12:G14,$D$7)</f>
        <v>0.1</v>
      </c>
      <c r="H10" s="40" cm="1">
        <f t="array" ref="H10">INDEX(H12:H14,$D$7)</f>
        <v>0.08</v>
      </c>
      <c r="I10" s="40" cm="1">
        <f t="array" ref="I10">INDEX(I12:I14,$D$7)</f>
        <v>0.06</v>
      </c>
      <c r="J10" s="40" cm="1">
        <f t="array" ref="J10">INDEX(J12:J14,$D$7)</f>
        <v>0.05</v>
      </c>
      <c r="K10" s="40" cm="1">
        <f t="array" ref="K10">INDEX(K12:K14,$D$7)</f>
        <v>0.04</v>
      </c>
      <c r="L10" s="41" cm="1">
        <f t="array" ref="L10">INDEX(L12:L14,$D$7)</f>
        <v>0.03</v>
      </c>
    </row>
    <row r="11" spans="1:12" ht="17.600000000000001" customHeight="1" outlineLevel="1">
      <c r="B11" s="33"/>
      <c r="C11" s="34"/>
      <c r="D11" s="34"/>
      <c r="E11" s="34"/>
      <c r="F11" s="34"/>
      <c r="G11" s="42"/>
      <c r="H11" s="43"/>
      <c r="I11" s="44"/>
      <c r="J11" s="45"/>
      <c r="K11" s="45"/>
      <c r="L11" s="45"/>
    </row>
    <row r="12" spans="1:12" ht="17.600000000000001" customHeight="1" outlineLevel="1">
      <c r="B12" s="46" t="str">
        <f>[1]Outputs!D14</f>
        <v>Best Case</v>
      </c>
      <c r="C12" s="47"/>
      <c r="D12" s="34"/>
      <c r="E12" s="34"/>
      <c r="F12" s="34"/>
      <c r="G12" s="123">
        <v>0.15</v>
      </c>
      <c r="H12" s="124">
        <v>0.1</v>
      </c>
      <c r="I12" s="124">
        <v>0.08</v>
      </c>
      <c r="J12" s="124">
        <v>0.06</v>
      </c>
      <c r="K12" s="124">
        <v>0.05</v>
      </c>
      <c r="L12" s="125">
        <v>0.04</v>
      </c>
    </row>
    <row r="13" spans="1:12" ht="17.600000000000001" customHeight="1" outlineLevel="1">
      <c r="B13" s="46" t="str">
        <f>[1]Outputs!D15</f>
        <v>Base Case</v>
      </c>
      <c r="C13" s="34"/>
      <c r="D13" s="34"/>
      <c r="E13" s="34"/>
      <c r="F13" s="34"/>
      <c r="G13" s="126">
        <v>0.1</v>
      </c>
      <c r="H13" s="127">
        <v>0.08</v>
      </c>
      <c r="I13" s="127">
        <v>0.06</v>
      </c>
      <c r="J13" s="127">
        <v>0.05</v>
      </c>
      <c r="K13" s="127">
        <v>0.04</v>
      </c>
      <c r="L13" s="128">
        <v>0.03</v>
      </c>
    </row>
    <row r="14" spans="1:12" ht="17.600000000000001" customHeight="1" outlineLevel="1">
      <c r="B14" s="46" t="str">
        <f>[1]Outputs!D16</f>
        <v>Worst Case</v>
      </c>
      <c r="C14" s="34"/>
      <c r="D14" s="34"/>
      <c r="E14" s="34"/>
      <c r="F14" s="34"/>
      <c r="G14" s="129">
        <v>0.05</v>
      </c>
      <c r="H14" s="130">
        <v>0.03</v>
      </c>
      <c r="I14" s="130">
        <v>0.02</v>
      </c>
      <c r="J14" s="130">
        <v>0.01</v>
      </c>
      <c r="K14" s="130">
        <v>5.0000000000000001E-3</v>
      </c>
      <c r="L14" s="131">
        <v>5.0000000000000001E-3</v>
      </c>
    </row>
    <row r="15" spans="1:12" ht="17.600000000000001" customHeight="1" outlineLevel="1">
      <c r="B15" s="32"/>
      <c r="C15" s="49"/>
      <c r="D15" s="49"/>
      <c r="E15" s="49"/>
      <c r="F15" s="49"/>
      <c r="G15" s="42"/>
      <c r="H15" s="50"/>
      <c r="I15" s="44"/>
      <c r="J15" s="45"/>
      <c r="K15" s="45"/>
      <c r="L15" s="45"/>
    </row>
    <row r="16" spans="1:12" ht="17.600000000000001" customHeight="1" outlineLevel="1">
      <c r="B16" s="37" t="s">
        <v>264</v>
      </c>
      <c r="C16" s="49"/>
      <c r="D16" s="49"/>
      <c r="E16" s="49"/>
      <c r="F16" s="49"/>
      <c r="G16" s="39" cm="1">
        <f t="array" ref="G16">INDEX(G18:G20,$D$7)</f>
        <v>0.65</v>
      </c>
      <c r="H16" s="40" cm="1">
        <f t="array" ref="H16">INDEX(H18:H20,$D$7)</f>
        <v>0.35</v>
      </c>
      <c r="I16" s="40" cm="1">
        <f t="array" ref="I16">INDEX(I18:I20,$D$7)</f>
        <v>0.2</v>
      </c>
      <c r="J16" s="40" cm="1">
        <f t="array" ref="J16">INDEX(J18:J20,$D$7)</f>
        <v>0.12</v>
      </c>
      <c r="K16" s="40" cm="1">
        <f t="array" ref="K16">INDEX(K18:K20,$D$7)</f>
        <v>0.08</v>
      </c>
      <c r="L16" s="41" cm="1">
        <f t="array" ref="L16">INDEX(L18:L20,$D$7)</f>
        <v>0.05</v>
      </c>
    </row>
    <row r="17" spans="2:12" ht="17.600000000000001" customHeight="1" outlineLevel="1">
      <c r="B17" s="32"/>
      <c r="C17" s="49"/>
      <c r="D17" s="49"/>
      <c r="E17" s="49"/>
      <c r="F17" s="49"/>
      <c r="G17" s="51"/>
      <c r="H17" s="52"/>
      <c r="I17" s="53"/>
      <c r="J17" s="54"/>
      <c r="K17" s="54"/>
      <c r="L17" s="54"/>
    </row>
    <row r="18" spans="2:12" ht="17.600000000000001" customHeight="1" outlineLevel="1">
      <c r="B18" s="46" t="str">
        <f>$B$12</f>
        <v>Best Case</v>
      </c>
      <c r="C18" s="34"/>
      <c r="D18" s="34"/>
      <c r="E18" s="34"/>
      <c r="F18" s="34"/>
      <c r="G18" s="123">
        <v>0.8</v>
      </c>
      <c r="H18" s="124">
        <v>0.5</v>
      </c>
      <c r="I18" s="124">
        <v>0.3</v>
      </c>
      <c r="J18" s="124">
        <v>0.18</v>
      </c>
      <c r="K18" s="124">
        <v>0.1</v>
      </c>
      <c r="L18" s="140">
        <v>0.06</v>
      </c>
    </row>
    <row r="19" spans="2:12" ht="17.600000000000001" customHeight="1" outlineLevel="1">
      <c r="B19" s="46" t="str">
        <f>$B$13</f>
        <v>Base Case</v>
      </c>
      <c r="C19" s="34"/>
      <c r="D19" s="34"/>
      <c r="E19" s="34"/>
      <c r="F19" s="34"/>
      <c r="G19" s="126">
        <v>0.65</v>
      </c>
      <c r="H19" s="127">
        <v>0.35</v>
      </c>
      <c r="I19" s="127">
        <v>0.2</v>
      </c>
      <c r="J19" s="127">
        <v>0.12</v>
      </c>
      <c r="K19" s="127">
        <v>0.08</v>
      </c>
      <c r="L19" s="141">
        <v>0.05</v>
      </c>
    </row>
    <row r="20" spans="2:12" ht="17.600000000000001" customHeight="1" outlineLevel="1">
      <c r="B20" s="46" t="str">
        <f>$B$14</f>
        <v>Worst Case</v>
      </c>
      <c r="C20" s="34"/>
      <c r="D20" s="34"/>
      <c r="E20" s="34"/>
      <c r="F20" s="34"/>
      <c r="G20" s="129">
        <v>0.4</v>
      </c>
      <c r="H20" s="130">
        <v>0.2</v>
      </c>
      <c r="I20" s="130">
        <v>0.1</v>
      </c>
      <c r="J20" s="130">
        <v>0.06</v>
      </c>
      <c r="K20" s="130">
        <v>0.04</v>
      </c>
      <c r="L20" s="142">
        <v>0.03</v>
      </c>
    </row>
    <row r="21" spans="2:12" ht="17.600000000000001" customHeight="1" outlineLevel="1"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</row>
    <row r="22" spans="2:12" ht="17.600000000000001" customHeight="1" outlineLevel="1">
      <c r="B22" s="37" t="s">
        <v>268</v>
      </c>
      <c r="C22" s="49"/>
      <c r="D22" s="49"/>
      <c r="E22" s="49"/>
      <c r="F22" s="49"/>
      <c r="G22" s="39" cm="1">
        <f t="array" ref="G22">INDEX(G24:G26,$D$7)</f>
        <v>0.72799999999999998</v>
      </c>
      <c r="H22" s="40" cm="1">
        <f t="array" ref="H22">INDEX(H24:H26,$D$7)</f>
        <v>0.73899999999999999</v>
      </c>
      <c r="I22" s="40" cm="1">
        <f t="array" ref="I22">INDEX(I24:I26,$D$7)</f>
        <v>0.745</v>
      </c>
      <c r="J22" s="40" cm="1">
        <f t="array" ref="J22">INDEX(J24:J26,$D$7)</f>
        <v>0.72</v>
      </c>
      <c r="K22" s="40" cm="1">
        <f t="array" ref="K22">INDEX(K24:K26,$D$7)</f>
        <v>0.7</v>
      </c>
      <c r="L22" s="41" cm="1">
        <f t="array" ref="L22">INDEX(L24:L26,$D$7)</f>
        <v>0.68</v>
      </c>
    </row>
    <row r="23" spans="2:12" ht="17.600000000000001" customHeight="1" outlineLevel="1">
      <c r="B23" s="32"/>
      <c r="C23" s="49"/>
      <c r="D23" s="49"/>
      <c r="E23" s="49"/>
      <c r="F23" s="49"/>
      <c r="G23" s="51"/>
      <c r="H23" s="52"/>
      <c r="I23" s="53"/>
      <c r="J23" s="54"/>
      <c r="K23" s="54"/>
      <c r="L23" s="54"/>
    </row>
    <row r="24" spans="2:12" ht="17.600000000000001" customHeight="1" outlineLevel="1">
      <c r="B24" s="46" t="str">
        <f>$B$12</f>
        <v>Best Case</v>
      </c>
      <c r="C24" s="34"/>
      <c r="D24" s="34"/>
      <c r="E24" s="34"/>
      <c r="F24" s="34"/>
      <c r="G24" s="123">
        <v>0.75</v>
      </c>
      <c r="H24" s="124">
        <v>0.745</v>
      </c>
      <c r="I24" s="124">
        <v>0.74</v>
      </c>
      <c r="J24" s="124">
        <v>0.73</v>
      </c>
      <c r="K24" s="124">
        <v>0.72</v>
      </c>
      <c r="L24" s="140">
        <v>0.7</v>
      </c>
    </row>
    <row r="25" spans="2:12" ht="17.600000000000001" customHeight="1" outlineLevel="1">
      <c r="B25" s="46" t="str">
        <f>$B$13</f>
        <v>Base Case</v>
      </c>
      <c r="C25" s="34"/>
      <c r="D25" s="34"/>
      <c r="E25" s="34"/>
      <c r="F25" s="34"/>
      <c r="G25" s="126">
        <v>0.72799999999999998</v>
      </c>
      <c r="H25" s="127">
        <v>0.73899999999999999</v>
      </c>
      <c r="I25" s="127">
        <v>0.745</v>
      </c>
      <c r="J25" s="127">
        <v>0.72</v>
      </c>
      <c r="K25" s="127">
        <v>0.7</v>
      </c>
      <c r="L25" s="141">
        <v>0.68</v>
      </c>
    </row>
    <row r="26" spans="2:12" ht="17.600000000000001" customHeight="1" outlineLevel="1">
      <c r="B26" s="46" t="str">
        <f>$B$14</f>
        <v>Worst Case</v>
      </c>
      <c r="C26" s="34"/>
      <c r="D26" s="34"/>
      <c r="E26" s="34"/>
      <c r="F26" s="34"/>
      <c r="G26" s="129">
        <v>0.7</v>
      </c>
      <c r="H26" s="130">
        <v>0.69</v>
      </c>
      <c r="I26" s="130">
        <v>0.68</v>
      </c>
      <c r="J26" s="130">
        <v>0.67</v>
      </c>
      <c r="K26" s="130">
        <v>0.65</v>
      </c>
      <c r="L26" s="142">
        <v>0.63</v>
      </c>
    </row>
    <row r="27" spans="2:12" ht="17.600000000000001" customHeight="1" outlineLevel="1">
      <c r="B27" s="46"/>
      <c r="C27" s="34"/>
      <c r="D27" s="34"/>
      <c r="E27" s="34"/>
      <c r="F27" s="34"/>
      <c r="G27" s="127"/>
      <c r="H27" s="127"/>
      <c r="I27" s="127"/>
      <c r="J27" s="127"/>
      <c r="K27" s="127"/>
      <c r="L27" s="127"/>
    </row>
    <row r="28" spans="2:12" ht="17.600000000000001" customHeight="1" outlineLevel="1">
      <c r="B28" s="37" t="s">
        <v>269</v>
      </c>
      <c r="C28" s="49"/>
      <c r="D28" s="49"/>
      <c r="E28" s="49"/>
      <c r="F28" s="49"/>
      <c r="G28" s="39" cm="1">
        <f t="array" ref="G28">INDEX(G30:G32,$D$7)</f>
        <v>4.2000000000000003E-2</v>
      </c>
      <c r="H28" s="40" cm="1">
        <f t="array" ref="H28">INDEX(H30:H32,$D$7)</f>
        <v>0.04</v>
      </c>
      <c r="I28" s="40" cm="1">
        <f t="array" ref="I28">INDEX(I30:I32,$D$7)</f>
        <v>3.7999999999999999E-2</v>
      </c>
      <c r="J28" s="40" cm="1">
        <f t="array" ref="J28">INDEX(J30:J32,$D$7)</f>
        <v>3.5000000000000003E-2</v>
      </c>
      <c r="K28" s="40" cm="1">
        <f t="array" ref="K28">INDEX(K30:K32,$D$7)</f>
        <v>3.3000000000000002E-2</v>
      </c>
      <c r="L28" s="41" cm="1">
        <f t="array" ref="L28">INDEX(L30:L32,$D$7)</f>
        <v>3.3000000000000002E-2</v>
      </c>
    </row>
    <row r="29" spans="2:12" ht="17.600000000000001" customHeight="1" outlineLevel="1">
      <c r="B29" s="32"/>
      <c r="C29" s="49"/>
      <c r="D29" s="49"/>
      <c r="E29" s="49"/>
      <c r="F29" s="49"/>
      <c r="G29" s="51"/>
      <c r="H29" s="52"/>
      <c r="I29" s="53"/>
      <c r="J29" s="54"/>
      <c r="K29" s="54"/>
      <c r="L29" s="54"/>
    </row>
    <row r="30" spans="2:12" ht="17.600000000000001" customHeight="1" outlineLevel="1">
      <c r="B30" s="46" t="str">
        <f>$B$12</f>
        <v>Best Case</v>
      </c>
      <c r="C30" s="34"/>
      <c r="D30" s="34"/>
      <c r="E30" s="34"/>
      <c r="F30" s="34"/>
      <c r="G30" s="123">
        <v>4.5999999999999999E-2</v>
      </c>
      <c r="H30" s="124">
        <v>4.3999999999999997E-2</v>
      </c>
      <c r="I30" s="124">
        <v>4.2000000000000003E-2</v>
      </c>
      <c r="J30" s="124">
        <v>0.04</v>
      </c>
      <c r="K30" s="124">
        <v>3.7999999999999999E-2</v>
      </c>
      <c r="L30" s="140">
        <v>0.04</v>
      </c>
    </row>
    <row r="31" spans="2:12" ht="17.600000000000001" customHeight="1" outlineLevel="1">
      <c r="B31" s="46" t="str">
        <f>$B$13</f>
        <v>Base Case</v>
      </c>
      <c r="C31" s="34"/>
      <c r="D31" s="34"/>
      <c r="E31" s="34"/>
      <c r="F31" s="34"/>
      <c r="G31" s="126">
        <v>4.2000000000000003E-2</v>
      </c>
      <c r="H31" s="127">
        <v>0.04</v>
      </c>
      <c r="I31" s="127">
        <v>3.7999999999999999E-2</v>
      </c>
      <c r="J31" s="127">
        <v>3.5000000000000003E-2</v>
      </c>
      <c r="K31" s="127">
        <v>3.3000000000000002E-2</v>
      </c>
      <c r="L31" s="141">
        <v>3.3000000000000002E-2</v>
      </c>
    </row>
    <row r="32" spans="2:12" ht="17.600000000000001" customHeight="1" outlineLevel="1">
      <c r="B32" s="46" t="str">
        <f>$B$14</f>
        <v>Worst Case</v>
      </c>
      <c r="C32" s="34"/>
      <c r="D32" s="34"/>
      <c r="E32" s="34"/>
      <c r="F32" s="34"/>
      <c r="G32" s="129">
        <v>3.7999999999999999E-2</v>
      </c>
      <c r="H32" s="130">
        <v>3.5000000000000003E-2</v>
      </c>
      <c r="I32" s="130">
        <v>3.3000000000000002E-2</v>
      </c>
      <c r="J32" s="130">
        <v>0.03</v>
      </c>
      <c r="K32" s="130">
        <v>2.8000000000000001E-2</v>
      </c>
      <c r="L32" s="142">
        <v>2.8000000000000001E-2</v>
      </c>
    </row>
    <row r="33" spans="2:12" ht="17.600000000000001" customHeight="1" outlineLevel="1">
      <c r="B33" s="46"/>
      <c r="C33" s="34"/>
      <c r="D33" s="34"/>
      <c r="E33" s="34"/>
      <c r="F33" s="34"/>
      <c r="G33" s="127"/>
      <c r="H33" s="127"/>
      <c r="I33" s="127"/>
      <c r="J33" s="127"/>
      <c r="K33" s="127"/>
      <c r="L33" s="127"/>
    </row>
    <row r="34" spans="2:12" ht="17.600000000000001" customHeight="1" outlineLevel="1">
      <c r="B34" s="37" t="s">
        <v>276</v>
      </c>
      <c r="C34" s="49"/>
      <c r="D34" s="49"/>
      <c r="E34" s="49"/>
      <c r="F34" s="49"/>
      <c r="G34" s="39" cm="1">
        <f t="array" ref="G34">INDEX(G36:G38,$D$7)</f>
        <v>0.12</v>
      </c>
      <c r="H34" s="40" cm="1">
        <f t="array" ref="H34">INDEX(H36:H38,$D$7)</f>
        <v>0.108</v>
      </c>
      <c r="I34" s="40" cm="1">
        <f t="array" ref="I34">INDEX(I36:I38,$D$7)</f>
        <v>0.1</v>
      </c>
      <c r="J34" s="40" cm="1">
        <f t="array" ref="J34">INDEX(J36:J38,$D$7)</f>
        <v>0.09</v>
      </c>
      <c r="K34" s="40" cm="1">
        <f t="array" ref="K34">INDEX(K36:K38,$D$7)</f>
        <v>8.5000000000000006E-2</v>
      </c>
      <c r="L34" s="41" cm="1">
        <f t="array" ref="L34">INDEX(L36:L38,$D$7)</f>
        <v>8.5000000000000006E-2</v>
      </c>
    </row>
    <row r="35" spans="2:12" ht="17.600000000000001" customHeight="1" outlineLevel="1">
      <c r="B35" s="32"/>
      <c r="C35" s="49"/>
      <c r="D35" s="49"/>
      <c r="E35" s="49"/>
      <c r="F35" s="49"/>
      <c r="G35" s="51"/>
      <c r="H35" s="52"/>
      <c r="I35" s="53"/>
      <c r="J35" s="54"/>
      <c r="K35" s="54"/>
      <c r="L35" s="54"/>
    </row>
    <row r="36" spans="2:12" ht="17.600000000000001" customHeight="1" outlineLevel="1">
      <c r="B36" s="46" t="str">
        <f>$B$12</f>
        <v>Best Case</v>
      </c>
      <c r="C36" s="34"/>
      <c r="D36" s="34"/>
      <c r="E36" s="34"/>
      <c r="F36" s="34"/>
      <c r="G36" s="123">
        <v>0.13</v>
      </c>
      <c r="H36" s="124">
        <v>0.12</v>
      </c>
      <c r="I36" s="124">
        <v>0.115</v>
      </c>
      <c r="J36" s="124">
        <v>0.11</v>
      </c>
      <c r="K36" s="124">
        <v>0.105</v>
      </c>
      <c r="L36" s="140">
        <v>0.105</v>
      </c>
    </row>
    <row r="37" spans="2:12" ht="17.600000000000001" customHeight="1" outlineLevel="1">
      <c r="B37" s="46" t="str">
        <f>$B$13</f>
        <v>Base Case</v>
      </c>
      <c r="C37" s="34"/>
      <c r="D37" s="34"/>
      <c r="E37" s="34"/>
      <c r="F37" s="34"/>
      <c r="G37" s="126">
        <v>0.12</v>
      </c>
      <c r="H37" s="127">
        <v>0.108</v>
      </c>
      <c r="I37" s="127">
        <v>0.1</v>
      </c>
      <c r="J37" s="127">
        <v>0.09</v>
      </c>
      <c r="K37" s="127">
        <v>8.5000000000000006E-2</v>
      </c>
      <c r="L37" s="141">
        <v>8.5000000000000006E-2</v>
      </c>
    </row>
    <row r="38" spans="2:12" ht="17.600000000000001" customHeight="1" outlineLevel="1">
      <c r="B38" s="46" t="str">
        <f>$B$14</f>
        <v>Worst Case</v>
      </c>
      <c r="C38" s="34"/>
      <c r="D38" s="34"/>
      <c r="E38" s="34"/>
      <c r="F38" s="34"/>
      <c r="G38" s="129">
        <v>0.11</v>
      </c>
      <c r="H38" s="130">
        <v>9.8000000000000004E-2</v>
      </c>
      <c r="I38" s="130">
        <v>0.09</v>
      </c>
      <c r="J38" s="130">
        <v>8.2000000000000003E-2</v>
      </c>
      <c r="K38" s="130">
        <v>7.4999999999999997E-2</v>
      </c>
      <c r="L38" s="142">
        <v>7.4999999999999997E-2</v>
      </c>
    </row>
    <row r="39" spans="2:12" ht="17.600000000000001" customHeight="1" outlineLevel="1">
      <c r="B39" s="33"/>
      <c r="C39" s="49"/>
      <c r="D39" s="49"/>
      <c r="E39" s="49"/>
      <c r="F39" s="49"/>
      <c r="G39" s="55"/>
      <c r="H39" s="55"/>
      <c r="I39" s="55"/>
      <c r="J39" s="55"/>
      <c r="K39" s="55"/>
      <c r="L39" s="55"/>
    </row>
    <row r="40" spans="2:12" ht="17.600000000000001" customHeight="1" outlineLevel="1">
      <c r="B40" s="37" t="s">
        <v>298</v>
      </c>
      <c r="C40" s="49"/>
      <c r="D40" s="49"/>
      <c r="E40" s="49"/>
      <c r="F40" s="49"/>
      <c r="G40" s="167" cm="1">
        <f t="array" ref="G40">INDEX(G42:G44,$D$7)</f>
        <v>2.7E-2</v>
      </c>
      <c r="H40" s="163" cm="1">
        <f t="array" ref="H40">INDEX(H42:H44,$D$7)</f>
        <v>2.8000000000000001E-2</v>
      </c>
      <c r="I40" s="163" cm="1">
        <f t="array" ref="I40">INDEX(I42:I44,$D$7)</f>
        <v>2.8000000000000001E-2</v>
      </c>
      <c r="J40" s="163" cm="1">
        <f t="array" ref="J40">INDEX(J42:J44,$D$7)</f>
        <v>2.7E-2</v>
      </c>
      <c r="K40" s="163" cm="1">
        <f t="array" ref="K40">INDEX(K42:K44,$D$7)</f>
        <v>2.5999999999999999E-2</v>
      </c>
      <c r="L40" s="166" cm="1">
        <f t="array" ref="L40">INDEX(L42:L44,$D$7)</f>
        <v>2.5000000000000001E-2</v>
      </c>
    </row>
    <row r="41" spans="2:12" ht="17.600000000000001" customHeight="1" outlineLevel="1">
      <c r="B41" s="32"/>
      <c r="C41" s="49"/>
      <c r="D41" s="49"/>
      <c r="E41" s="49"/>
      <c r="F41" s="49"/>
      <c r="G41" s="56"/>
      <c r="H41" s="57"/>
      <c r="I41" s="58"/>
      <c r="J41" s="59"/>
      <c r="K41" s="59"/>
      <c r="L41" s="59"/>
    </row>
    <row r="42" spans="2:12" ht="17.600000000000001" customHeight="1" outlineLevel="1">
      <c r="B42" s="46" t="str">
        <f>$B$12</f>
        <v>Best Case</v>
      </c>
      <c r="C42" s="34"/>
      <c r="D42" s="34"/>
      <c r="E42" s="34"/>
      <c r="F42" s="34"/>
      <c r="G42" s="171">
        <v>2.3E-2</v>
      </c>
      <c r="H42" s="172">
        <v>2.3E-2</v>
      </c>
      <c r="I42" s="172">
        <v>2.4E-2</v>
      </c>
      <c r="J42" s="172">
        <v>2.4E-2</v>
      </c>
      <c r="K42" s="172">
        <v>2.3E-2</v>
      </c>
      <c r="L42" s="173">
        <v>0.02</v>
      </c>
    </row>
    <row r="43" spans="2:12" ht="17.600000000000001" customHeight="1" outlineLevel="1">
      <c r="B43" s="46" t="str">
        <f>$B$13</f>
        <v>Base Case</v>
      </c>
      <c r="C43" s="34"/>
      <c r="D43" s="34"/>
      <c r="E43" s="34"/>
      <c r="F43" s="34"/>
      <c r="G43" s="162">
        <v>2.7E-2</v>
      </c>
      <c r="H43" s="164">
        <v>2.8000000000000001E-2</v>
      </c>
      <c r="I43" s="164">
        <v>2.8000000000000001E-2</v>
      </c>
      <c r="J43" s="164">
        <v>2.7E-2</v>
      </c>
      <c r="K43" s="164">
        <v>2.5999999999999999E-2</v>
      </c>
      <c r="L43" s="165">
        <v>2.5000000000000001E-2</v>
      </c>
    </row>
    <row r="44" spans="2:12" ht="17.600000000000001" customHeight="1" outlineLevel="1">
      <c r="B44" s="46" t="str">
        <f>$B$14</f>
        <v>Worst Case</v>
      </c>
      <c r="C44" s="34"/>
      <c r="D44" s="34"/>
      <c r="E44" s="34"/>
      <c r="F44" s="34"/>
      <c r="G44" s="168">
        <v>3.5000000000000003E-2</v>
      </c>
      <c r="H44" s="169">
        <v>3.6999999999999998E-2</v>
      </c>
      <c r="I44" s="169">
        <v>3.7999999999999999E-2</v>
      </c>
      <c r="J44" s="169">
        <v>3.7999999999999999E-2</v>
      </c>
      <c r="K44" s="169">
        <v>3.5000000000000003E-2</v>
      </c>
      <c r="L44" s="170">
        <v>0.03</v>
      </c>
    </row>
    <row r="45" spans="2:12" ht="17.600000000000001" customHeight="1" outlineLevel="1"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</row>
    <row r="46" spans="2:12" ht="17.600000000000001" customHeight="1" outlineLevel="1">
      <c r="B46" s="37" t="s">
        <v>353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</row>
    <row r="47" spans="2:12" ht="17.600000000000001" customHeight="1" outlineLevel="1">
      <c r="B47" s="61" t="s">
        <v>30</v>
      </c>
      <c r="C47" s="55"/>
      <c r="D47" s="55"/>
      <c r="E47" s="62" t="s">
        <v>243</v>
      </c>
      <c r="F47" s="55"/>
      <c r="G47" s="132">
        <v>64</v>
      </c>
      <c r="H47" s="133">
        <v>63</v>
      </c>
      <c r="I47" s="133">
        <v>62</v>
      </c>
      <c r="J47" s="133">
        <v>61</v>
      </c>
      <c r="K47" s="133">
        <v>60</v>
      </c>
      <c r="L47" s="134">
        <v>60</v>
      </c>
    </row>
    <row r="48" spans="2:12" ht="17.600000000000001" customHeight="1" outlineLevel="1">
      <c r="B48" s="61" t="s">
        <v>8</v>
      </c>
      <c r="C48" s="55"/>
      <c r="D48" s="55"/>
      <c r="E48" s="62" t="s">
        <v>243</v>
      </c>
      <c r="F48" s="55"/>
      <c r="G48" s="135">
        <v>31</v>
      </c>
      <c r="H48" s="136">
        <v>30</v>
      </c>
      <c r="I48" s="136">
        <v>29</v>
      </c>
      <c r="J48" s="136">
        <v>29</v>
      </c>
      <c r="K48" s="136">
        <v>28</v>
      </c>
      <c r="L48" s="137">
        <v>28</v>
      </c>
    </row>
    <row r="49" spans="1:12" ht="17.600000000000001" customHeight="1" outlineLevel="1">
      <c r="B49" s="61" t="s">
        <v>43</v>
      </c>
      <c r="C49" s="55"/>
      <c r="D49" s="55"/>
      <c r="E49" s="62" t="s">
        <v>243</v>
      </c>
      <c r="F49" s="55"/>
      <c r="G49" s="143">
        <v>48</v>
      </c>
      <c r="H49" s="138">
        <v>49</v>
      </c>
      <c r="I49" s="138">
        <v>50</v>
      </c>
      <c r="J49" s="138">
        <v>50</v>
      </c>
      <c r="K49" s="138">
        <v>50</v>
      </c>
      <c r="L49" s="139">
        <f>K49</f>
        <v>50</v>
      </c>
    </row>
    <row r="50" spans="1:12" ht="17.600000000000001" customHeight="1" outlineLevel="1">
      <c r="B50" s="33"/>
      <c r="C50" s="55"/>
      <c r="D50" s="55"/>
      <c r="E50" s="55"/>
      <c r="F50" s="55"/>
      <c r="G50" s="55"/>
      <c r="H50" s="55"/>
      <c r="I50" s="55"/>
      <c r="J50" s="55"/>
      <c r="K50" s="55"/>
      <c r="L50" s="55"/>
    </row>
    <row r="51" spans="1:12" ht="17.600000000000001" customHeight="1" outlineLevel="1">
      <c r="B51" s="37" t="s">
        <v>352</v>
      </c>
      <c r="C51" s="55"/>
      <c r="D51" s="55"/>
      <c r="E51" s="55"/>
      <c r="F51" s="55"/>
      <c r="G51" s="167" cm="1">
        <f t="array" ref="G51">INDEX(G53:G55,$D$7)</f>
        <v>4.0000000000000001E-3</v>
      </c>
      <c r="H51" s="163" cm="1">
        <f t="array" ref="H51">INDEX(H53:H55,$D$7)</f>
        <v>4.4999999999999997E-3</v>
      </c>
      <c r="I51" s="163" cm="1">
        <f t="array" ref="I51">INDEX(I53:I55,$D$7)</f>
        <v>5.0000000000000001E-3</v>
      </c>
      <c r="J51" s="163" cm="1">
        <f t="array" ref="J51">INDEX(J53:J55,$D$7)</f>
        <v>5.0000000000000001E-3</v>
      </c>
      <c r="K51" s="163" cm="1">
        <f t="array" ref="K51">INDEX(K53:K55,$D$7)</f>
        <v>5.0000000000000001E-3</v>
      </c>
      <c r="L51" s="166" cm="1">
        <f t="array" ref="L51">INDEX(L53:L55,$D$7)</f>
        <v>5.0000000000000001E-3</v>
      </c>
    </row>
    <row r="52" spans="1:12" ht="17.600000000000001" customHeight="1" outlineLevel="1">
      <c r="B52" s="33"/>
      <c r="C52" s="55"/>
      <c r="D52" s="55"/>
      <c r="E52" s="55"/>
      <c r="F52" s="55"/>
      <c r="G52" s="56"/>
      <c r="H52" s="57"/>
      <c r="I52" s="58"/>
      <c r="J52" s="59"/>
      <c r="K52" s="59"/>
      <c r="L52" s="59"/>
    </row>
    <row r="53" spans="1:12" ht="17.600000000000001" customHeight="1" outlineLevel="1">
      <c r="B53" s="46" t="str">
        <f>$B$12</f>
        <v>Best Case</v>
      </c>
      <c r="C53" s="55"/>
      <c r="D53" s="55"/>
      <c r="E53" s="55"/>
      <c r="F53" s="55"/>
      <c r="G53" s="171">
        <v>6.0000000000000001E-3</v>
      </c>
      <c r="H53" s="172">
        <v>6.4999999999999997E-3</v>
      </c>
      <c r="I53" s="172">
        <v>7.0000000000000001E-3</v>
      </c>
      <c r="J53" s="172">
        <v>7.0000000000000001E-3</v>
      </c>
      <c r="K53" s="172">
        <v>7.0000000000000001E-3</v>
      </c>
      <c r="L53" s="172">
        <v>7.0000000000000001E-3</v>
      </c>
    </row>
    <row r="54" spans="1:12" ht="17.600000000000001" customHeight="1" outlineLevel="1">
      <c r="B54" s="46" t="str">
        <f>$B$13</f>
        <v>Base Case</v>
      </c>
      <c r="C54" s="55"/>
      <c r="D54" s="55"/>
      <c r="E54" s="55"/>
      <c r="F54" s="55"/>
      <c r="G54" s="162">
        <v>4.0000000000000001E-3</v>
      </c>
      <c r="H54" s="164">
        <v>4.4999999999999997E-3</v>
      </c>
      <c r="I54" s="164">
        <v>5.0000000000000001E-3</v>
      </c>
      <c r="J54" s="164">
        <v>5.0000000000000001E-3</v>
      </c>
      <c r="K54" s="164">
        <v>5.0000000000000001E-3</v>
      </c>
      <c r="L54" s="164">
        <v>5.0000000000000001E-3</v>
      </c>
    </row>
    <row r="55" spans="1:12" ht="17.600000000000001" customHeight="1" outlineLevel="1">
      <c r="B55" s="46" t="str">
        <f>$B$14</f>
        <v>Worst Case</v>
      </c>
      <c r="C55" s="55"/>
      <c r="D55" s="55"/>
      <c r="E55" s="55"/>
      <c r="F55" s="55"/>
      <c r="G55" s="168">
        <v>2E-3</v>
      </c>
      <c r="H55" s="169">
        <v>2.5000000000000001E-3</v>
      </c>
      <c r="I55" s="169">
        <v>3.0000000000000001E-3</v>
      </c>
      <c r="J55" s="169">
        <v>3.0000000000000001E-3</v>
      </c>
      <c r="K55" s="169">
        <v>3.0000000000000001E-3</v>
      </c>
      <c r="L55" s="169">
        <v>3.0000000000000001E-3</v>
      </c>
    </row>
    <row r="56" spans="1:12" ht="17.600000000000001" customHeight="1" outlineLevel="1">
      <c r="B56" s="64"/>
      <c r="C56" s="64"/>
      <c r="D56" s="65"/>
      <c r="E56" s="65"/>
      <c r="F56" s="65"/>
      <c r="G56" s="65"/>
      <c r="H56" s="66"/>
      <c r="I56" s="6"/>
      <c r="J56" s="6"/>
      <c r="K56" s="6"/>
      <c r="L56" s="6"/>
    </row>
    <row r="57" spans="1:12" ht="17.600000000000001" customHeight="1"/>
    <row r="58" spans="1:12" ht="17.600000000000001" customHeight="1">
      <c r="A58" s="1" t="s">
        <v>132</v>
      </c>
      <c r="B58" s="21" t="s">
        <v>93</v>
      </c>
      <c r="C58" s="21"/>
      <c r="D58" s="22"/>
      <c r="E58" s="22"/>
      <c r="F58" s="22"/>
      <c r="G58" s="23"/>
      <c r="H58" s="24"/>
      <c r="I58" s="24"/>
      <c r="J58" s="24"/>
      <c r="K58" s="24"/>
      <c r="L58" s="24"/>
    </row>
    <row r="59" spans="1:12" ht="17.600000000000001" customHeight="1" outlineLevel="1">
      <c r="B59" s="25"/>
      <c r="C59" s="25"/>
      <c r="D59" s="26"/>
      <c r="E59" s="26"/>
      <c r="F59" s="26"/>
      <c r="G59" s="27"/>
      <c r="H59" s="28"/>
      <c r="I59" s="28"/>
      <c r="J59" s="28"/>
      <c r="K59" s="28"/>
      <c r="L59" s="28"/>
    </row>
    <row r="60" spans="1:12" ht="17.600000000000001" customHeight="1" outlineLevel="1">
      <c r="B60" s="29" t="s">
        <v>6</v>
      </c>
      <c r="C60" s="29"/>
      <c r="D60" s="26"/>
      <c r="E60" s="26"/>
      <c r="F60" s="26"/>
      <c r="G60" s="30"/>
      <c r="H60" s="30"/>
      <c r="I60" s="30"/>
      <c r="J60" s="63"/>
      <c r="K60" s="63"/>
      <c r="L60" s="63"/>
    </row>
    <row r="61" spans="1:12" ht="17.600000000000001" customHeight="1" outlineLevel="1">
      <c r="B61" s="67"/>
      <c r="C61" s="67"/>
      <c r="D61" s="26"/>
      <c r="E61" s="26"/>
      <c r="F61" s="26"/>
      <c r="G61" s="30"/>
      <c r="H61" s="68"/>
      <c r="I61" s="68"/>
      <c r="J61" s="69"/>
      <c r="K61" s="69"/>
      <c r="L61" s="69"/>
    </row>
    <row r="62" spans="1:12" ht="17.600000000000001" customHeight="1" outlineLevel="1">
      <c r="B62" s="70"/>
      <c r="C62" s="70"/>
      <c r="D62" s="71"/>
      <c r="E62" s="71"/>
      <c r="F62" s="72"/>
      <c r="G62" s="73"/>
      <c r="H62" s="74" t="s">
        <v>94</v>
      </c>
      <c r="I62" s="74" t="s">
        <v>95</v>
      </c>
      <c r="J62" s="74" t="s">
        <v>95</v>
      </c>
      <c r="K62" s="74" t="s">
        <v>96</v>
      </c>
      <c r="L62" s="74" t="s">
        <v>261</v>
      </c>
    </row>
    <row r="63" spans="1:12" ht="17.600000000000001" customHeight="1" outlineLevel="1" thickBot="1">
      <c r="B63" s="75" t="s">
        <v>97</v>
      </c>
      <c r="C63" s="75"/>
      <c r="D63" s="76" t="s">
        <v>123</v>
      </c>
      <c r="E63" s="75"/>
      <c r="F63" s="77" t="s">
        <v>98</v>
      </c>
      <c r="G63" s="77" t="s">
        <v>99</v>
      </c>
      <c r="H63" s="78" t="s">
        <v>92</v>
      </c>
      <c r="I63" s="79" t="s">
        <v>99</v>
      </c>
      <c r="J63" s="79" t="s">
        <v>100</v>
      </c>
      <c r="K63" s="78" t="s">
        <v>237</v>
      </c>
      <c r="L63" s="78" t="s">
        <v>237</v>
      </c>
    </row>
    <row r="64" spans="1:12" ht="17.600000000000001" customHeight="1" outlineLevel="1">
      <c r="B64" s="80"/>
      <c r="C64" s="80"/>
      <c r="D64" s="80"/>
      <c r="E64" s="80"/>
      <c r="F64" s="81"/>
      <c r="G64" s="81"/>
      <c r="H64" s="82"/>
      <c r="I64" s="83"/>
      <c r="J64" s="83"/>
      <c r="K64" s="84"/>
    </row>
    <row r="65" spans="2:12" ht="17.600000000000001" customHeight="1" outlineLevel="1">
      <c r="B65" s="3" t="s">
        <v>117</v>
      </c>
      <c r="C65" s="3"/>
      <c r="D65" s="5" t="s">
        <v>124</v>
      </c>
      <c r="E65" s="85"/>
      <c r="F65" s="86">
        <v>3886</v>
      </c>
      <c r="G65" s="86">
        <v>255419.36820999999</v>
      </c>
      <c r="H65" s="87">
        <v>0.16400899999999999</v>
      </c>
      <c r="I65" s="88">
        <f>F65/G65</f>
        <v>1.521419470744685E-2</v>
      </c>
      <c r="J65" s="88">
        <f>F65/(F65+G65)</f>
        <v>1.498619186646726E-2</v>
      </c>
      <c r="K65" s="89">
        <v>1.91577</v>
      </c>
      <c r="L65" s="90">
        <f t="shared" ref="L65:L70" si="0">K65/(1+(1-H65)*I65)</f>
        <v>1.8917094798338154</v>
      </c>
    </row>
    <row r="66" spans="2:12" ht="17.600000000000001" customHeight="1" outlineLevel="1">
      <c r="B66" s="3" t="s">
        <v>118</v>
      </c>
      <c r="C66" s="3"/>
      <c r="D66" s="5" t="s">
        <v>125</v>
      </c>
      <c r="E66" s="85"/>
      <c r="F66" s="86">
        <v>50757</v>
      </c>
      <c r="G66" s="86">
        <v>137593.82514</v>
      </c>
      <c r="H66" s="87">
        <v>0.12559500000000001</v>
      </c>
      <c r="I66" s="88">
        <f t="shared" ref="I66:I70" si="1">F66/G66</f>
        <v>0.36889010061574629</v>
      </c>
      <c r="J66" s="88">
        <f t="shared" ref="J66:J70" si="2">F66/(F66+G66)</f>
        <v>0.26948116612854039</v>
      </c>
      <c r="K66" s="89">
        <v>1.2295499999999999</v>
      </c>
      <c r="L66" s="90">
        <f t="shared" si="0"/>
        <v>0.92967472609875779</v>
      </c>
    </row>
    <row r="67" spans="2:12" ht="17.600000000000001" customHeight="1" outlineLevel="1">
      <c r="B67" s="3" t="s">
        <v>119</v>
      </c>
      <c r="C67" s="3"/>
      <c r="D67" s="5" t="s">
        <v>126</v>
      </c>
      <c r="E67" s="85"/>
      <c r="F67" s="86">
        <v>64229</v>
      </c>
      <c r="G67" s="86">
        <v>1628932.59069</v>
      </c>
      <c r="H67" s="87">
        <v>0.13125229999999999</v>
      </c>
      <c r="I67" s="88">
        <f t="shared" si="1"/>
        <v>3.9430115381750216E-2</v>
      </c>
      <c r="J67" s="88">
        <f t="shared" si="2"/>
        <v>3.7934359220743542E-2</v>
      </c>
      <c r="K67" s="89">
        <v>1.17221</v>
      </c>
      <c r="L67" s="90">
        <f t="shared" si="0"/>
        <v>1.1333860621293612</v>
      </c>
    </row>
    <row r="68" spans="2:12" ht="17.600000000000001" customHeight="1" outlineLevel="1">
      <c r="B68" s="3" t="s">
        <v>120</v>
      </c>
      <c r="C68" s="3"/>
      <c r="D68" s="5" t="s">
        <v>127</v>
      </c>
      <c r="E68" s="85"/>
      <c r="F68" s="86">
        <v>14788</v>
      </c>
      <c r="G68" s="86">
        <v>179161.43069000001</v>
      </c>
      <c r="H68" s="87">
        <v>7.6180800000000007E-2</v>
      </c>
      <c r="I68" s="88">
        <f t="shared" si="1"/>
        <v>8.254008657470159E-2</v>
      </c>
      <c r="J68" s="88">
        <f t="shared" si="2"/>
        <v>7.6246679082221547E-2</v>
      </c>
      <c r="K68" s="89">
        <v>1.21123</v>
      </c>
      <c r="L68" s="90">
        <f t="shared" si="0"/>
        <v>1.125414743583089</v>
      </c>
    </row>
    <row r="69" spans="2:12" ht="17.600000000000001" customHeight="1" outlineLevel="1">
      <c r="B69" s="3" t="s">
        <v>121</v>
      </c>
      <c r="C69" s="3"/>
      <c r="D69" s="5" t="s">
        <v>128</v>
      </c>
      <c r="E69" s="85"/>
      <c r="F69" s="86">
        <v>16213</v>
      </c>
      <c r="G69" s="86">
        <v>182115.22769</v>
      </c>
      <c r="H69" s="87">
        <v>0.154085</v>
      </c>
      <c r="I69" s="88">
        <f t="shared" si="1"/>
        <v>8.9026053480810927E-2</v>
      </c>
      <c r="J69" s="88">
        <f t="shared" si="2"/>
        <v>8.1748322913175936E-2</v>
      </c>
      <c r="K69" s="89">
        <v>1.4674199999999999</v>
      </c>
      <c r="L69" s="90">
        <f t="shared" si="0"/>
        <v>1.364650270540656</v>
      </c>
    </row>
    <row r="70" spans="2:12" ht="17.600000000000001" customHeight="1" outlineLevel="1">
      <c r="B70" s="145" t="s">
        <v>122</v>
      </c>
      <c r="C70" s="145"/>
      <c r="D70" s="146" t="s">
        <v>129</v>
      </c>
      <c r="E70" s="147"/>
      <c r="F70" s="148">
        <v>14043</v>
      </c>
      <c r="G70" s="148">
        <v>163071.93400000001</v>
      </c>
      <c r="H70" s="149">
        <v>0.1138598</v>
      </c>
      <c r="I70" s="150">
        <f t="shared" si="1"/>
        <v>8.6115370410704759E-2</v>
      </c>
      <c r="J70" s="150">
        <f t="shared" si="2"/>
        <v>7.9287498139484949E-2</v>
      </c>
      <c r="K70" s="151">
        <v>1.00556</v>
      </c>
      <c r="L70" s="152">
        <f t="shared" si="0"/>
        <v>0.93426589700601237</v>
      </c>
    </row>
    <row r="71" spans="2:12" ht="17.600000000000001" customHeight="1" outlineLevel="1">
      <c r="B71" s="67"/>
      <c r="C71" s="67"/>
      <c r="D71" s="91"/>
      <c r="E71" s="91"/>
      <c r="F71" s="60"/>
      <c r="G71" s="60"/>
      <c r="H71" s="48"/>
      <c r="I71" s="92"/>
      <c r="J71" s="92"/>
      <c r="K71" s="93"/>
    </row>
    <row r="72" spans="2:12" ht="17.600000000000001" customHeight="1" outlineLevel="1">
      <c r="B72" s="29"/>
      <c r="C72" s="29"/>
      <c r="D72" s="26"/>
      <c r="E72" s="26"/>
      <c r="F72" s="30"/>
      <c r="G72" s="153" t="s">
        <v>94</v>
      </c>
      <c r="H72" s="154">
        <f>AVERAGE(H65:H70)</f>
        <v>0.12749698333333331</v>
      </c>
      <c r="I72" s="154">
        <f t="shared" ref="I72:K72" si="3">AVERAGE(I65:I70)</f>
        <v>0.1135359868618601</v>
      </c>
      <c r="J72" s="154">
        <f t="shared" si="3"/>
        <v>9.3280702891772274E-2</v>
      </c>
      <c r="K72" s="155">
        <f t="shared" si="3"/>
        <v>1.3336233333333334</v>
      </c>
      <c r="L72" s="155">
        <f t="shared" ref="L72" si="4">AVERAGE(L65:L70)</f>
        <v>1.2298501965319486</v>
      </c>
    </row>
    <row r="73" spans="2:12" ht="17.600000000000001" customHeight="1" outlineLevel="1">
      <c r="B73" s="29"/>
      <c r="C73" s="29"/>
      <c r="D73" s="26"/>
      <c r="E73" s="26"/>
      <c r="F73" s="30"/>
      <c r="G73" s="156" t="s">
        <v>101</v>
      </c>
      <c r="H73" s="157">
        <f>MEDIAN(H65:H70)</f>
        <v>0.12842365</v>
      </c>
      <c r="I73" s="157">
        <f t="shared" ref="I73:K73" si="5">MEDIAN(I65:I70)</f>
        <v>8.4327728492703175E-2</v>
      </c>
      <c r="J73" s="157">
        <f t="shared" si="5"/>
        <v>7.7767088610853241E-2</v>
      </c>
      <c r="K73" s="158">
        <f t="shared" si="5"/>
        <v>1.2203900000000001</v>
      </c>
      <c r="L73" s="158">
        <f t="shared" ref="L73" si="6">MEDIAN(L65:L70)</f>
        <v>1.1294004028562252</v>
      </c>
    </row>
    <row r="74" spans="2:12" ht="17.600000000000001" customHeight="1" outlineLevel="1">
      <c r="B74" s="29"/>
      <c r="C74" s="29"/>
      <c r="D74" s="26"/>
      <c r="E74" s="26"/>
      <c r="F74" s="30"/>
      <c r="G74" s="30"/>
      <c r="H74" s="94"/>
      <c r="I74" s="95"/>
      <c r="J74" s="95"/>
      <c r="K74" s="96"/>
    </row>
    <row r="75" spans="2:12" ht="17.600000000000001" customHeight="1" outlineLevel="1">
      <c r="B75" s="91"/>
      <c r="C75" s="91"/>
      <c r="D75" s="26"/>
      <c r="E75" s="26"/>
      <c r="F75" s="97"/>
      <c r="G75" s="98"/>
      <c r="H75" s="98"/>
      <c r="I75" s="99"/>
      <c r="J75" s="99"/>
      <c r="K75" s="99"/>
    </row>
    <row r="76" spans="2:12" ht="17.600000000000001" customHeight="1" outlineLevel="1">
      <c r="B76" s="100" t="s">
        <v>102</v>
      </c>
      <c r="C76" s="100"/>
      <c r="D76" s="101"/>
      <c r="E76" s="101"/>
      <c r="F76" s="102"/>
      <c r="H76" s="100" t="s">
        <v>106</v>
      </c>
      <c r="I76" s="101"/>
      <c r="J76" s="101"/>
      <c r="K76" s="101"/>
      <c r="L76" s="101"/>
    </row>
    <row r="77" spans="2:12" ht="17.600000000000001" customHeight="1" outlineLevel="1">
      <c r="B77" s="103"/>
      <c r="C77" s="103"/>
      <c r="D77" s="103"/>
      <c r="E77" s="103"/>
      <c r="F77" s="103"/>
      <c r="H77" s="103"/>
      <c r="I77" s="103"/>
      <c r="J77" s="103"/>
      <c r="K77" s="103"/>
    </row>
    <row r="78" spans="2:12" ht="17.600000000000001" customHeight="1" outlineLevel="1">
      <c r="B78" s="104" t="s">
        <v>103</v>
      </c>
      <c r="C78" s="104"/>
      <c r="D78" s="67"/>
      <c r="E78" s="67"/>
      <c r="F78" s="105">
        <v>4.19E-2</v>
      </c>
      <c r="H78" s="104" t="s">
        <v>108</v>
      </c>
      <c r="I78" s="106"/>
      <c r="J78" s="67"/>
      <c r="K78" s="106"/>
      <c r="L78" s="19">
        <v>2.7E-2</v>
      </c>
    </row>
    <row r="79" spans="2:12" ht="17.600000000000001" customHeight="1" outlineLevel="1">
      <c r="B79" s="104" t="s">
        <v>104</v>
      </c>
      <c r="C79" s="104"/>
      <c r="D79" s="106"/>
      <c r="E79" s="67"/>
      <c r="F79" s="94">
        <v>0.05</v>
      </c>
      <c r="H79" s="104" t="s">
        <v>92</v>
      </c>
      <c r="I79" s="67"/>
      <c r="J79" s="67"/>
      <c r="K79" s="107"/>
      <c r="L79" s="19">
        <v>0.125</v>
      </c>
    </row>
    <row r="80" spans="2:12" ht="17.600000000000001" customHeight="1" outlineLevel="1">
      <c r="B80" s="104" t="s">
        <v>238</v>
      </c>
      <c r="C80" s="104"/>
      <c r="D80" s="67"/>
      <c r="E80" s="67"/>
      <c r="F80" s="108">
        <v>1.23</v>
      </c>
      <c r="H80" s="104" t="s">
        <v>111</v>
      </c>
      <c r="I80" s="67"/>
      <c r="J80" s="67"/>
      <c r="K80" s="67"/>
      <c r="L80" s="17">
        <f>L78*(1-L79)</f>
        <v>2.3625E-2</v>
      </c>
    </row>
    <row r="81" spans="1:12" ht="17.600000000000001" customHeight="1" outlineLevel="1">
      <c r="B81" s="104" t="s">
        <v>102</v>
      </c>
      <c r="C81" s="104"/>
      <c r="D81" s="106"/>
      <c r="E81" s="67"/>
      <c r="F81" s="94">
        <f>F78+F80*F79</f>
        <v>0.10339999999999999</v>
      </c>
      <c r="H81" s="67"/>
      <c r="I81" s="67"/>
      <c r="J81" s="67"/>
      <c r="K81" s="67"/>
    </row>
    <row r="82" spans="1:12" ht="17.600000000000001" customHeight="1" outlineLevel="1">
      <c r="B82" s="106"/>
      <c r="C82" s="106"/>
      <c r="D82" s="106"/>
      <c r="E82" s="106"/>
      <c r="F82" s="106"/>
      <c r="G82" s="106"/>
      <c r="H82" s="67"/>
      <c r="I82" s="67"/>
      <c r="J82" s="67"/>
      <c r="K82" s="67"/>
    </row>
    <row r="83" spans="1:12" ht="17.600000000000001" customHeight="1" outlineLevel="1">
      <c r="B83" s="100" t="s">
        <v>105</v>
      </c>
      <c r="C83" s="100"/>
      <c r="D83" s="101"/>
      <c r="E83" s="109"/>
      <c r="F83" s="109"/>
      <c r="G83" s="67"/>
      <c r="H83" s="100" t="s">
        <v>93</v>
      </c>
      <c r="I83" s="101"/>
      <c r="J83" s="101"/>
      <c r="K83" s="102"/>
      <c r="L83" s="102"/>
    </row>
    <row r="84" spans="1:12" ht="17.600000000000001" customHeight="1" outlineLevel="1">
      <c r="B84" s="67"/>
      <c r="C84" s="67"/>
      <c r="D84" s="103"/>
      <c r="E84" s="103"/>
      <c r="F84" s="103"/>
      <c r="G84" s="67"/>
      <c r="H84" s="103"/>
      <c r="I84" s="103"/>
      <c r="J84" s="103"/>
      <c r="K84" s="103"/>
    </row>
    <row r="85" spans="1:12" ht="17.600000000000001" customHeight="1" outlineLevel="1" thickBot="1">
      <c r="B85" s="29"/>
      <c r="C85" s="29"/>
      <c r="D85" s="67"/>
      <c r="F85" s="159" t="s">
        <v>107</v>
      </c>
      <c r="G85" s="67"/>
      <c r="H85" s="106"/>
      <c r="I85" s="106"/>
      <c r="J85" s="106"/>
      <c r="K85" s="159" t="s">
        <v>114</v>
      </c>
      <c r="L85" s="159" t="s">
        <v>262</v>
      </c>
    </row>
    <row r="86" spans="1:12" ht="17.600000000000001" customHeight="1" outlineLevel="1">
      <c r="B86" s="104" t="s">
        <v>109</v>
      </c>
      <c r="C86" s="104"/>
      <c r="E86" s="110">
        <v>10598</v>
      </c>
      <c r="F86" s="94">
        <f>E86/$E$88</f>
        <v>2.3958523134963031E-3</v>
      </c>
      <c r="G86" s="67"/>
      <c r="H86" s="104" t="s">
        <v>115</v>
      </c>
      <c r="I86" s="67"/>
      <c r="J86" s="106"/>
      <c r="K86" s="94">
        <f>F86</f>
        <v>2.3958523134963031E-3</v>
      </c>
      <c r="L86" s="16">
        <f>L80</f>
        <v>2.3625E-2</v>
      </c>
    </row>
    <row r="87" spans="1:12" ht="17.600000000000001" customHeight="1" outlineLevel="1">
      <c r="B87" s="104" t="s">
        <v>110</v>
      </c>
      <c r="C87" s="104"/>
      <c r="E87" s="111">
        <v>4412880</v>
      </c>
      <c r="F87" s="112">
        <f>E87/$E$88</f>
        <v>0.99760414768650374</v>
      </c>
      <c r="G87" s="67"/>
      <c r="H87" s="104" t="s">
        <v>116</v>
      </c>
      <c r="I87" s="67"/>
      <c r="J87" s="67"/>
      <c r="K87" s="94">
        <f>F87</f>
        <v>0.99760414768650374</v>
      </c>
      <c r="L87" s="18">
        <f>F81</f>
        <v>0.10339999999999999</v>
      </c>
    </row>
    <row r="88" spans="1:12" ht="17.600000000000001" customHeight="1" outlineLevel="1">
      <c r="B88" s="104" t="s">
        <v>112</v>
      </c>
      <c r="C88" s="104"/>
      <c r="E88" s="113">
        <f>SUM(E86:E87)</f>
        <v>4423478</v>
      </c>
      <c r="F88" s="94">
        <f>SUM(F86:F87)</f>
        <v>1</v>
      </c>
      <c r="G88" s="67"/>
      <c r="H88" s="67"/>
      <c r="I88" s="67"/>
      <c r="J88" s="67"/>
      <c r="K88" s="67"/>
    </row>
    <row r="89" spans="1:12" ht="17.600000000000001" customHeight="1" outlineLevel="1">
      <c r="B89" s="67"/>
      <c r="C89" s="67"/>
      <c r="D89" s="67"/>
      <c r="F89" s="67"/>
      <c r="G89" s="67"/>
      <c r="H89" s="106"/>
      <c r="I89" s="106"/>
      <c r="J89" s="106"/>
      <c r="K89" s="106"/>
    </row>
    <row r="90" spans="1:12" ht="17.600000000000001" customHeight="1" outlineLevel="1" thickBot="1">
      <c r="B90" s="114" t="s">
        <v>113</v>
      </c>
      <c r="C90" s="114"/>
      <c r="D90" s="115"/>
      <c r="F90" s="116">
        <f>F86/F87</f>
        <v>2.4016062072841318E-3</v>
      </c>
      <c r="G90" s="67"/>
      <c r="H90" s="705" t="s">
        <v>93</v>
      </c>
      <c r="I90" s="706"/>
      <c r="J90" s="706"/>
      <c r="K90" s="707"/>
      <c r="L90" s="708">
        <f>SUMPRODUCT(K86:K87,L86:L87)</f>
        <v>0.10320887088169083</v>
      </c>
    </row>
    <row r="91" spans="1:12" ht="17.600000000000001" customHeight="1" outlineLevel="1">
      <c r="B91" s="64"/>
      <c r="C91" s="64"/>
      <c r="D91" s="65"/>
      <c r="E91" s="65"/>
      <c r="F91" s="65"/>
      <c r="G91" s="66"/>
      <c r="H91" s="6"/>
      <c r="I91" s="6"/>
      <c r="J91" s="6"/>
      <c r="K91" s="6"/>
      <c r="L91" s="6"/>
    </row>
    <row r="92" spans="1:12" ht="17.600000000000001" customHeight="1">
      <c r="B92" s="91"/>
      <c r="C92" s="91"/>
      <c r="D92" s="67"/>
      <c r="E92" s="67"/>
      <c r="F92" s="67"/>
      <c r="G92" s="67"/>
      <c r="H92" s="26"/>
    </row>
    <row r="93" spans="1:12" ht="17.600000000000001" customHeight="1">
      <c r="A93" s="1" t="s">
        <v>132</v>
      </c>
      <c r="B93" s="21" t="s">
        <v>416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4" spans="1:12" ht="17.600000000000001" customHeight="1" outlineLevel="1">
      <c r="B94" s="117"/>
      <c r="C94" s="117"/>
      <c r="D94" s="106"/>
      <c r="E94" s="118"/>
      <c r="F94" s="118"/>
      <c r="G94" s="118"/>
      <c r="H94" s="67"/>
    </row>
    <row r="95" spans="1:12" ht="17.600000000000001" customHeight="1" outlineLevel="1">
      <c r="B95" s="29" t="s">
        <v>6</v>
      </c>
      <c r="C95" s="117"/>
      <c r="D95" s="106"/>
      <c r="E95" s="118"/>
      <c r="F95" s="118"/>
      <c r="G95" s="118"/>
      <c r="H95" s="67"/>
    </row>
    <row r="96" spans="1:12" ht="17.600000000000001" customHeight="1" outlineLevel="1">
      <c r="B96" s="117"/>
      <c r="C96" s="117"/>
      <c r="D96" s="106"/>
      <c r="E96" s="118"/>
      <c r="F96" s="118"/>
      <c r="G96" s="118"/>
      <c r="H96" s="67"/>
    </row>
    <row r="97" spans="2:13" ht="17.600000000000001" customHeight="1" outlineLevel="1">
      <c r="B97" s="662" t="s">
        <v>417</v>
      </c>
      <c r="H97" s="673" t="s">
        <v>416</v>
      </c>
      <c r="I97" s="674"/>
      <c r="J97" s="674"/>
      <c r="K97" s="674"/>
      <c r="L97" s="674"/>
      <c r="M97" s="4"/>
    </row>
    <row r="98" spans="2:13" ht="17.600000000000001" customHeight="1" outlineLevel="1">
      <c r="B98" s="667" t="s">
        <v>418</v>
      </c>
      <c r="C98" s="668"/>
      <c r="D98" s="669"/>
      <c r="E98" s="670" t="s">
        <v>372</v>
      </c>
      <c r="F98" s="694">
        <v>45920</v>
      </c>
      <c r="H98" s="34" t="s">
        <v>319</v>
      </c>
      <c r="I98" s="34"/>
      <c r="J98" s="34"/>
      <c r="K98" s="34"/>
      <c r="L98" s="701">
        <v>0.3</v>
      </c>
      <c r="M98" s="4"/>
    </row>
    <row r="99" spans="2:13" ht="17.600000000000001" customHeight="1" outlineLevel="1">
      <c r="B99" s="671" t="s">
        <v>419</v>
      </c>
      <c r="C99" s="34"/>
      <c r="D99" s="672"/>
      <c r="E99" s="62" t="s">
        <v>372</v>
      </c>
      <c r="F99" s="695">
        <v>46053</v>
      </c>
      <c r="H99" s="38" t="s">
        <v>320</v>
      </c>
      <c r="I99" s="678"/>
      <c r="J99" s="679"/>
      <c r="K99" s="680"/>
      <c r="L99" s="702">
        <v>0.12</v>
      </c>
      <c r="M99" s="4"/>
    </row>
    <row r="100" spans="2:13" ht="17.600000000000001" customHeight="1" outlineLevel="1">
      <c r="B100" s="34" t="s">
        <v>420</v>
      </c>
      <c r="C100" s="672"/>
      <c r="D100" s="672"/>
      <c r="E100" s="62" t="s">
        <v>372</v>
      </c>
      <c r="F100" s="695">
        <v>46053</v>
      </c>
      <c r="H100" s="34" t="s">
        <v>287</v>
      </c>
      <c r="I100" s="34"/>
      <c r="J100" s="34"/>
      <c r="K100" s="34"/>
      <c r="L100" s="701">
        <v>0.5</v>
      </c>
      <c r="M100" s="4"/>
    </row>
    <row r="101" spans="2:13" ht="17.600000000000001" customHeight="1" outlineLevel="1">
      <c r="B101" s="34" t="s">
        <v>421</v>
      </c>
      <c r="C101" s="34"/>
      <c r="D101" s="672"/>
      <c r="E101" s="62" t="s">
        <v>422</v>
      </c>
      <c r="F101" s="675">
        <f>YEAR(F100)</f>
        <v>2026</v>
      </c>
      <c r="H101" s="34" t="s">
        <v>285</v>
      </c>
      <c r="I101" s="34"/>
      <c r="J101" s="34"/>
      <c r="K101" s="682" t="s">
        <v>424</v>
      </c>
      <c r="L101" s="703">
        <v>6</v>
      </c>
      <c r="M101" s="4"/>
    </row>
    <row r="102" spans="2:13" ht="17.600000000000001" customHeight="1" outlineLevel="1">
      <c r="B102" s="671" t="s">
        <v>303</v>
      </c>
      <c r="C102" s="672"/>
      <c r="D102" s="672"/>
      <c r="E102" s="672"/>
      <c r="F102" s="676">
        <f>IF(F98&gt;F99,1,0)</f>
        <v>0</v>
      </c>
      <c r="G102" s="677"/>
      <c r="H102" s="34" t="s">
        <v>286</v>
      </c>
      <c r="I102" s="34"/>
      <c r="J102" s="34"/>
      <c r="K102" s="682" t="s">
        <v>424</v>
      </c>
      <c r="L102" s="703">
        <v>6</v>
      </c>
      <c r="M102" s="4"/>
    </row>
    <row r="103" spans="2:13" ht="17.600000000000001" customHeight="1" outlineLevel="1">
      <c r="B103" s="671" t="s">
        <v>305</v>
      </c>
      <c r="C103" s="34"/>
      <c r="D103" s="34"/>
      <c r="E103" s="672"/>
      <c r="F103" s="676">
        <f>IF(F99&gt;F100,1,0)</f>
        <v>0</v>
      </c>
      <c r="G103" s="67"/>
      <c r="H103" s="67"/>
      <c r="M103" s="4"/>
    </row>
    <row r="104" spans="2:13" ht="17.600000000000001" customHeight="1" outlineLevel="1">
      <c r="B104" s="34" t="s">
        <v>245</v>
      </c>
      <c r="C104" s="681"/>
      <c r="D104" s="681"/>
      <c r="E104" s="672"/>
      <c r="F104" s="696">
        <v>365</v>
      </c>
      <c r="G104" s="67"/>
      <c r="H104" s="67"/>
      <c r="M104" s="4"/>
    </row>
    <row r="105" spans="2:13" ht="17.600000000000001" customHeight="1" outlineLevel="1">
      <c r="B105" s="67"/>
      <c r="C105" s="67"/>
      <c r="D105" s="67"/>
      <c r="E105" s="67"/>
      <c r="F105" s="67"/>
      <c r="G105" s="67"/>
      <c r="H105" s="67"/>
      <c r="M105" s="4"/>
    </row>
    <row r="106" spans="2:13" ht="17.600000000000001" customHeight="1" outlineLevel="1">
      <c r="B106" s="662" t="s">
        <v>370</v>
      </c>
      <c r="G106" s="67"/>
      <c r="H106" s="67"/>
      <c r="M106" s="4"/>
    </row>
    <row r="107" spans="2:13" ht="17.600000000000001" customHeight="1" outlineLevel="1">
      <c r="B107" s="668" t="s">
        <v>392</v>
      </c>
      <c r="C107" s="668"/>
      <c r="D107" s="668"/>
      <c r="E107" s="670" t="s">
        <v>393</v>
      </c>
      <c r="F107" s="697">
        <v>2430</v>
      </c>
      <c r="G107" s="67"/>
      <c r="H107" s="719"/>
      <c r="I107" s="719"/>
      <c r="M107" s="4"/>
    </row>
    <row r="108" spans="2:13" ht="17.600000000000001" customHeight="1" outlineLevel="1">
      <c r="B108" s="38" t="s">
        <v>412</v>
      </c>
      <c r="C108" s="38"/>
      <c r="D108" s="38"/>
      <c r="E108" s="683" t="s">
        <v>413</v>
      </c>
      <c r="F108" s="698">
        <v>176.67</v>
      </c>
      <c r="G108" s="677"/>
      <c r="H108" s="67"/>
      <c r="M108" s="4"/>
    </row>
    <row r="109" spans="2:13" ht="17.600000000000001" customHeight="1" outlineLevel="1">
      <c r="B109" s="34" t="s">
        <v>408</v>
      </c>
      <c r="C109" s="34"/>
      <c r="D109" s="34"/>
      <c r="E109" s="672"/>
      <c r="F109" s="699">
        <v>0.03</v>
      </c>
      <c r="G109" s="677"/>
      <c r="H109" s="67"/>
      <c r="M109" s="4"/>
    </row>
    <row r="110" spans="2:13" ht="17.600000000000001" customHeight="1" outlineLevel="1">
      <c r="B110" s="34" t="s">
        <v>479</v>
      </c>
      <c r="C110" s="34"/>
      <c r="D110" s="34"/>
      <c r="E110" s="682"/>
      <c r="F110" s="700">
        <v>16</v>
      </c>
      <c r="G110" s="677"/>
      <c r="H110" s="106"/>
      <c r="M110" s="218"/>
    </row>
    <row r="111" spans="2:13" ht="17.600000000000001" customHeight="1" outlineLevel="1">
      <c r="B111" s="34" t="s">
        <v>423</v>
      </c>
      <c r="C111" s="34"/>
      <c r="D111" s="34"/>
      <c r="E111" s="672"/>
      <c r="F111" s="684">
        <f>L90</f>
        <v>0.10320887088169083</v>
      </c>
      <c r="G111" s="677"/>
      <c r="H111" s="67"/>
      <c r="I111" s="67"/>
      <c r="J111" s="67"/>
      <c r="K111" s="67"/>
      <c r="L111" s="67"/>
      <c r="M111" s="218"/>
    </row>
    <row r="112" spans="2:13" ht="17.600000000000001" customHeight="1" outlineLevel="1">
      <c r="B112" s="671" t="s">
        <v>425</v>
      </c>
      <c r="C112" s="678"/>
      <c r="D112" s="679"/>
      <c r="E112" s="680"/>
      <c r="F112" s="685">
        <f>IF(F109&gt;=F111,1,0)</f>
        <v>0</v>
      </c>
      <c r="G112" s="686"/>
      <c r="H112" s="34"/>
      <c r="I112" s="122"/>
      <c r="J112" s="122"/>
      <c r="K112" s="122"/>
      <c r="L112" s="122"/>
      <c r="M112" s="218"/>
    </row>
    <row r="113" spans="2:13" ht="17.600000000000001" customHeight="1" outlineLevel="1">
      <c r="B113" s="117"/>
      <c r="C113" s="117"/>
      <c r="D113" s="106"/>
      <c r="E113" s="118"/>
      <c r="F113" s="118"/>
      <c r="G113" s="686"/>
      <c r="M113" s="218"/>
    </row>
    <row r="114" spans="2:13" ht="17.600000000000001" customHeight="1" outlineLevel="1">
      <c r="B114" s="117"/>
      <c r="C114" s="117"/>
      <c r="D114" s="106"/>
      <c r="E114" s="118"/>
      <c r="F114" s="118"/>
      <c r="G114" s="219"/>
    </row>
    <row r="115" spans="2:13" ht="17.600000000000001" customHeight="1" outlineLevel="1">
      <c r="B115" s="117"/>
      <c r="C115" s="117"/>
      <c r="D115" s="106"/>
      <c r="E115" s="118"/>
      <c r="F115" s="118"/>
      <c r="G115" s="118"/>
    </row>
    <row r="116" spans="2:13" ht="17.600000000000001" customHeight="1">
      <c r="B116" s="117"/>
      <c r="C116" s="117"/>
      <c r="D116" s="106"/>
      <c r="E116" s="118"/>
      <c r="F116" s="118"/>
      <c r="G116" s="118"/>
    </row>
    <row r="117" spans="2:13" ht="17.600000000000001" customHeight="1">
      <c r="B117" s="119"/>
      <c r="C117" s="119"/>
      <c r="D117" s="213"/>
      <c r="E117" s="118"/>
      <c r="F117" s="118"/>
      <c r="G117" s="118"/>
    </row>
    <row r="118" spans="2:13" ht="17.600000000000001" customHeight="1">
      <c r="B118" s="120"/>
      <c r="C118" s="120"/>
      <c r="D118" s="107"/>
      <c r="G118" s="118"/>
    </row>
    <row r="119" spans="2:13" ht="17.600000000000001" customHeight="1">
      <c r="B119" s="121"/>
      <c r="C119" s="121"/>
      <c r="D119" s="67"/>
      <c r="G119" s="118"/>
    </row>
    <row r="120" spans="2:13" ht="17.600000000000001" customHeight="1">
      <c r="B120" s="8"/>
      <c r="C120" s="220"/>
      <c r="D120" s="106"/>
    </row>
    <row r="121" spans="2:13" ht="17.600000000000001" customHeight="1">
      <c r="B121" s="67"/>
      <c r="C121" s="220"/>
      <c r="D121" s="67"/>
    </row>
    <row r="122" spans="2:13" ht="17.600000000000001" customHeight="1">
      <c r="B122" s="34"/>
      <c r="C122" s="220"/>
      <c r="D122" s="34"/>
      <c r="E122" s="34"/>
      <c r="F122" s="34"/>
    </row>
    <row r="123" spans="2:13" ht="17.600000000000001" customHeight="1">
      <c r="C123" s="220"/>
      <c r="E123" s="214"/>
    </row>
    <row r="124" spans="2:13" ht="17.600000000000001" customHeight="1">
      <c r="C124" s="220"/>
      <c r="E124" s="215"/>
      <c r="G124" s="34"/>
    </row>
    <row r="125" spans="2:13" ht="17.600000000000001" customHeight="1">
      <c r="C125" s="220"/>
      <c r="E125" s="16"/>
    </row>
    <row r="126" spans="2:13">
      <c r="C126" s="220"/>
      <c r="E126" s="217"/>
    </row>
    <row r="127" spans="2:13">
      <c r="C127" s="220"/>
      <c r="E127" s="217"/>
    </row>
    <row r="128" spans="2:13">
      <c r="C128"/>
      <c r="E128" s="216"/>
    </row>
    <row r="129" spans="3:3">
      <c r="C129"/>
    </row>
  </sheetData>
  <mergeCells count="1">
    <mergeCell ref="H107:I107"/>
  </mergeCells>
  <conditionalFormatting sqref="F102:F103 F112">
    <cfRule type="expression" dxfId="2" priority="1">
      <formula>F102=1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9" r:id="rId3" name="Drop Down 3">
              <controlPr defaultSize="0" autoLine="0" autoPict="0">
                <anchor moveWithCells="1">
                  <from>
                    <xdr:col>2</xdr:col>
                    <xdr:colOff>892629</xdr:colOff>
                    <xdr:row>5</xdr:row>
                    <xdr:rowOff>206829</xdr:rowOff>
                  </from>
                  <to>
                    <xdr:col>4</xdr:col>
                    <xdr:colOff>283029</xdr:colOff>
                    <xdr:row>7</xdr:row>
                    <xdr:rowOff>16329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5F00-13B0-445E-B921-843E3249FCFA}">
  <dimension ref="A1:R416"/>
  <sheetViews>
    <sheetView showGridLines="0" topLeftCell="A405" zoomScaleNormal="100" workbookViewId="0">
      <selection activeCell="G284" sqref="G284"/>
    </sheetView>
  </sheetViews>
  <sheetFormatPr defaultRowHeight="15.55" customHeight="1" outlineLevelRow="1"/>
  <cols>
    <col min="1" max="1" width="3.61328125" style="161" customWidth="1"/>
    <col min="2" max="2" width="21.3828125" style="161" customWidth="1"/>
    <col min="3" max="3" width="17.07421875" style="161" customWidth="1"/>
    <col min="4" max="4" width="10.53515625" style="161" customWidth="1"/>
    <col min="5" max="12" width="11.765625" style="161" customWidth="1"/>
    <col min="13" max="13" width="9.765625" style="161" bestFit="1" customWidth="1"/>
    <col min="14" max="14" width="11.765625" style="161" customWidth="1"/>
    <col min="15" max="15" width="13.15234375" style="161" customWidth="1"/>
    <col min="16" max="16" width="11.3046875" style="161" customWidth="1"/>
    <col min="17" max="16384" width="9.23046875" style="161"/>
  </cols>
  <sheetData>
    <row r="1" spans="1:16" s="1" customFormat="1" ht="58.75" customHeight="1">
      <c r="B1" s="2"/>
      <c r="C1" s="2"/>
      <c r="D1" s="7" t="s">
        <v>25</v>
      </c>
      <c r="E1" s="7"/>
      <c r="F1" s="1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s="1" customFormat="1" ht="17.600000000000001" customHeight="1"/>
    <row r="3" spans="1:16" s="1" customFormat="1" ht="17.600000000000001" customHeight="1">
      <c r="A3" s="1" t="s">
        <v>132</v>
      </c>
      <c r="B3" s="21" t="s">
        <v>244</v>
      </c>
      <c r="C3" s="21"/>
      <c r="D3" s="22"/>
      <c r="E3" s="22"/>
      <c r="F3" s="22"/>
      <c r="G3" s="23"/>
      <c r="H3" s="24"/>
      <c r="I3" s="24"/>
      <c r="J3" s="24"/>
      <c r="K3" s="24"/>
      <c r="L3" s="24"/>
      <c r="M3" s="21"/>
      <c r="N3" s="21"/>
      <c r="O3" s="22"/>
      <c r="P3" s="22"/>
    </row>
    <row r="4" spans="1:16" s="1" customFormat="1" ht="17.600000000000001" customHeight="1" outlineLevel="1">
      <c r="B4" s="352"/>
      <c r="C4" s="26"/>
      <c r="D4" s="27"/>
      <c r="E4" s="27"/>
      <c r="F4" s="28"/>
      <c r="G4" s="28"/>
      <c r="H4" s="28"/>
      <c r="I4" s="28"/>
      <c r="J4" s="28"/>
      <c r="K4" s="28"/>
      <c r="L4" s="28"/>
      <c r="M4" s="28"/>
      <c r="N4" s="353"/>
    </row>
    <row r="5" spans="1:16" s="1" customFormat="1" ht="17.600000000000001" customHeight="1" outlineLevel="1" thickBot="1">
      <c r="B5" s="29" t="s">
        <v>6</v>
      </c>
      <c r="C5" s="26"/>
      <c r="D5" s="30"/>
      <c r="E5" s="30"/>
      <c r="F5" s="144">
        <f>'Income Statement'!C5</f>
        <v>44227</v>
      </c>
      <c r="G5" s="144">
        <f>'Income Statement'!D5</f>
        <v>44591</v>
      </c>
      <c r="H5" s="144">
        <f>'Income Statement'!E5</f>
        <v>44955</v>
      </c>
      <c r="I5" s="144">
        <f>'Income Statement'!F5</f>
        <v>45319</v>
      </c>
      <c r="J5" s="144">
        <f>'Income Statement'!G5</f>
        <v>45683</v>
      </c>
      <c r="K5" s="144" t="s">
        <v>250</v>
      </c>
      <c r="L5" s="144" t="s">
        <v>251</v>
      </c>
      <c r="M5" s="144" t="s">
        <v>252</v>
      </c>
      <c r="N5" s="144" t="s">
        <v>253</v>
      </c>
      <c r="O5" s="144" t="s">
        <v>254</v>
      </c>
      <c r="P5" s="144" t="s">
        <v>241</v>
      </c>
    </row>
    <row r="6" spans="1:16" s="1" customFormat="1" ht="17.600000000000001" customHeight="1" outlineLevel="1">
      <c r="B6" s="29" t="str" cm="1">
        <f t="array" ref="B6">CONCATENATE("Model Running: ",INDEX(Inputs!$B$12:$B$14,Inputs!$D$7)," Drivers")</f>
        <v>Model Running: Base Case Drivers</v>
      </c>
      <c r="C6" s="26"/>
      <c r="D6" s="30"/>
      <c r="E6" s="30"/>
      <c r="F6" s="30"/>
      <c r="G6" s="30"/>
      <c r="H6" s="30"/>
      <c r="I6" s="63"/>
      <c r="J6" s="63"/>
      <c r="K6" s="63"/>
      <c r="L6" s="63"/>
      <c r="M6" s="63"/>
      <c r="N6" s="63"/>
    </row>
    <row r="7" spans="1:16" s="1" customFormat="1" ht="17.600000000000001" customHeight="1" outlineLevel="1">
      <c r="B7" s="67"/>
      <c r="C7" s="26"/>
      <c r="D7" s="30"/>
      <c r="E7" s="30"/>
      <c r="F7" s="30"/>
      <c r="G7" s="30"/>
      <c r="H7" s="30"/>
      <c r="I7" s="63"/>
      <c r="J7" s="63"/>
      <c r="K7" s="63"/>
      <c r="L7" s="63"/>
      <c r="M7" s="63"/>
      <c r="N7" s="63"/>
    </row>
    <row r="8" spans="1:16" s="1" customFormat="1" ht="17.600000000000001" customHeight="1" outlineLevel="1">
      <c r="B8" s="354" t="s">
        <v>245</v>
      </c>
      <c r="C8" s="355">
        <f>Inputs!F104</f>
        <v>365</v>
      </c>
      <c r="D8" s="237"/>
      <c r="E8" s="8"/>
      <c r="F8" s="356">
        <f>$C$8</f>
        <v>365</v>
      </c>
      <c r="G8" s="357">
        <f t="shared" ref="G8:P8" si="0">$C$8</f>
        <v>365</v>
      </c>
      <c r="H8" s="357">
        <f t="shared" si="0"/>
        <v>365</v>
      </c>
      <c r="I8" s="357">
        <f t="shared" si="0"/>
        <v>365</v>
      </c>
      <c r="J8" s="357">
        <f t="shared" si="0"/>
        <v>365</v>
      </c>
      <c r="K8" s="357">
        <f t="shared" si="0"/>
        <v>365</v>
      </c>
      <c r="L8" s="357">
        <f t="shared" si="0"/>
        <v>365</v>
      </c>
      <c r="M8" s="357">
        <f t="shared" si="0"/>
        <v>365</v>
      </c>
      <c r="N8" s="357">
        <f t="shared" si="0"/>
        <v>365</v>
      </c>
      <c r="O8" s="358">
        <f t="shared" si="0"/>
        <v>365</v>
      </c>
      <c r="P8" s="359">
        <f t="shared" si="0"/>
        <v>365</v>
      </c>
    </row>
    <row r="9" spans="1:16" s="1" customFormat="1" ht="17.600000000000001" customHeight="1" outlineLevel="1">
      <c r="B9" s="29"/>
      <c r="C9" s="26"/>
      <c r="D9" s="30"/>
      <c r="E9" s="30"/>
      <c r="F9" s="30"/>
      <c r="G9" s="30"/>
      <c r="H9" s="30"/>
      <c r="I9" s="230"/>
      <c r="J9" s="230"/>
      <c r="K9" s="230"/>
      <c r="L9" s="230"/>
      <c r="M9" s="230"/>
      <c r="N9" s="360"/>
    </row>
    <row r="10" spans="1:16" s="1" customFormat="1" ht="17.600000000000001" customHeight="1" outlineLevel="1">
      <c r="B10" s="32" t="s">
        <v>246</v>
      </c>
      <c r="C10" s="254"/>
      <c r="D10" s="361"/>
      <c r="E10" s="8"/>
      <c r="F10" s="362"/>
      <c r="G10" s="363"/>
      <c r="H10" s="363"/>
      <c r="I10" s="230"/>
      <c r="J10" s="230"/>
      <c r="K10" s="230"/>
      <c r="L10" s="230"/>
      <c r="M10" s="230"/>
      <c r="N10" s="360"/>
    </row>
    <row r="11" spans="1:16" s="1" customFormat="1" ht="17.600000000000001" customHeight="1" outlineLevel="1">
      <c r="B11" s="91"/>
      <c r="C11" s="254"/>
      <c r="D11" s="361"/>
      <c r="E11" s="8"/>
      <c r="F11" s="363"/>
      <c r="G11" s="363"/>
      <c r="H11" s="363"/>
      <c r="I11" s="363"/>
      <c r="J11" s="363"/>
      <c r="K11" s="363"/>
      <c r="L11" s="363"/>
      <c r="M11" s="363"/>
      <c r="N11" s="363"/>
      <c r="P11" s="6"/>
    </row>
    <row r="12" spans="1:16" s="1" customFormat="1" ht="17.600000000000001" customHeight="1" outlineLevel="1">
      <c r="B12" s="104" t="s">
        <v>257</v>
      </c>
      <c r="C12" s="26"/>
      <c r="D12" s="30"/>
      <c r="E12" s="30"/>
      <c r="F12" s="30"/>
      <c r="G12" s="68">
        <f>(G13-F13)/F13</f>
        <v>0.61358551962578811</v>
      </c>
      <c r="H12" s="68">
        <f t="shared" ref="H12:J12" si="1">(H13-G13)/G13</f>
        <v>-0.24968490042853542</v>
      </c>
      <c r="I12" s="68">
        <f t="shared" si="1"/>
        <v>0.13530992776751219</v>
      </c>
      <c r="J12" s="68">
        <f t="shared" si="1"/>
        <v>5.8222978471554339E-2</v>
      </c>
      <c r="K12" s="68">
        <f>Inputs!G10</f>
        <v>0.1</v>
      </c>
      <c r="L12" s="68">
        <f>Inputs!H10</f>
        <v>0.08</v>
      </c>
      <c r="M12" s="68">
        <f>Inputs!I10</f>
        <v>0.06</v>
      </c>
      <c r="N12" s="68">
        <f>Inputs!J10</f>
        <v>0.05</v>
      </c>
      <c r="O12" s="68">
        <f>Inputs!K10</f>
        <v>0.04</v>
      </c>
      <c r="P12" s="364">
        <f>Inputs!L10</f>
        <v>0.03</v>
      </c>
    </row>
    <row r="13" spans="1:16" s="1" customFormat="1" ht="17.600000000000001" customHeight="1" outlineLevel="1">
      <c r="B13" s="104" t="s">
        <v>259</v>
      </c>
      <c r="C13" s="26"/>
      <c r="D13" s="361"/>
      <c r="E13" s="30"/>
      <c r="F13" s="365">
        <v>9834</v>
      </c>
      <c r="G13" s="365">
        <v>15868</v>
      </c>
      <c r="H13" s="365">
        <v>11906</v>
      </c>
      <c r="I13" s="365">
        <v>13517</v>
      </c>
      <c r="J13" s="365">
        <v>14304</v>
      </c>
      <c r="K13" s="366">
        <f t="shared" ref="K13:P13" si="2">J13*(1+K12)</f>
        <v>15734.400000000001</v>
      </c>
      <c r="L13" s="366">
        <f t="shared" si="2"/>
        <v>16993.152000000002</v>
      </c>
      <c r="M13" s="366">
        <f t="shared" si="2"/>
        <v>18012.741120000002</v>
      </c>
      <c r="N13" s="366">
        <f t="shared" si="2"/>
        <v>18913.378176000002</v>
      </c>
      <c r="O13" s="366">
        <f t="shared" si="2"/>
        <v>19669.913303040004</v>
      </c>
      <c r="P13" s="367">
        <f t="shared" si="2"/>
        <v>20260.010702131203</v>
      </c>
    </row>
    <row r="14" spans="1:16" s="1" customFormat="1" ht="17.600000000000001" customHeight="1" outlineLevel="1">
      <c r="B14" s="67"/>
      <c r="C14" s="26"/>
      <c r="D14" s="361"/>
      <c r="E14" s="30"/>
      <c r="F14" s="233"/>
      <c r="G14" s="233"/>
      <c r="H14" s="233"/>
      <c r="I14" s="233"/>
      <c r="J14" s="233"/>
      <c r="K14" s="233"/>
      <c r="L14" s="233"/>
      <c r="M14" s="233"/>
      <c r="N14" s="233"/>
      <c r="P14" s="15"/>
    </row>
    <row r="15" spans="1:16" s="1" customFormat="1" ht="17.600000000000001" customHeight="1" outlineLevel="1">
      <c r="B15" s="104" t="s">
        <v>258</v>
      </c>
      <c r="C15" s="26"/>
      <c r="D15" s="30"/>
      <c r="E15" s="30"/>
      <c r="F15" s="30"/>
      <c r="G15" s="68">
        <f>(G16-F16)/F16</f>
        <v>0.61467621692734975</v>
      </c>
      <c r="H15" s="68">
        <f t="shared" ref="H15:J15" si="3">(H16-G16)/G16</f>
        <v>0.36411370631902951</v>
      </c>
      <c r="I15" s="68">
        <f t="shared" si="3"/>
        <v>2.1460711441465357</v>
      </c>
      <c r="J15" s="68">
        <f t="shared" si="3"/>
        <v>1.4510705621769855</v>
      </c>
      <c r="K15" s="68">
        <f>Inputs!G16</f>
        <v>0.65</v>
      </c>
      <c r="L15" s="68">
        <f>Inputs!H16</f>
        <v>0.35</v>
      </c>
      <c r="M15" s="68">
        <f>Inputs!I16</f>
        <v>0.2</v>
      </c>
      <c r="N15" s="68">
        <f>Inputs!J16</f>
        <v>0.12</v>
      </c>
      <c r="O15" s="68">
        <f>Inputs!K16</f>
        <v>0.08</v>
      </c>
      <c r="P15" s="368">
        <f>Inputs!L16</f>
        <v>0.05</v>
      </c>
    </row>
    <row r="16" spans="1:16" s="1" customFormat="1" ht="17.600000000000001" customHeight="1" outlineLevel="1">
      <c r="B16" s="104" t="s">
        <v>260</v>
      </c>
      <c r="C16" s="26"/>
      <c r="D16" s="361"/>
      <c r="E16" s="30"/>
      <c r="F16" s="369">
        <v>6841</v>
      </c>
      <c r="G16" s="369">
        <v>11046</v>
      </c>
      <c r="H16" s="369">
        <v>15068</v>
      </c>
      <c r="I16" s="369">
        <v>47405</v>
      </c>
      <c r="J16" s="369">
        <v>116193</v>
      </c>
      <c r="K16" s="233">
        <f t="shared" ref="K16:P16" si="4">J16*(1+K15)</f>
        <v>191718.44999999998</v>
      </c>
      <c r="L16" s="233">
        <f t="shared" si="4"/>
        <v>258819.9075</v>
      </c>
      <c r="M16" s="233">
        <f t="shared" si="4"/>
        <v>310583.88899999997</v>
      </c>
      <c r="N16" s="233">
        <f t="shared" si="4"/>
        <v>347853.95568000001</v>
      </c>
      <c r="O16" s="233">
        <f t="shared" si="4"/>
        <v>375682.27213440003</v>
      </c>
      <c r="P16" s="370">
        <f t="shared" si="4"/>
        <v>394466.38574112003</v>
      </c>
    </row>
    <row r="17" spans="1:16" s="1" customFormat="1" ht="17.600000000000001" customHeight="1" outlineLevel="1">
      <c r="B17" s="29"/>
      <c r="C17" s="26"/>
      <c r="D17" s="30"/>
      <c r="E17" s="30"/>
      <c r="F17" s="30"/>
      <c r="G17" s="30"/>
      <c r="H17" s="30"/>
      <c r="I17" s="230"/>
      <c r="J17" s="230"/>
      <c r="K17" s="230"/>
      <c r="L17" s="230"/>
      <c r="M17" s="230"/>
      <c r="N17" s="230"/>
    </row>
    <row r="18" spans="1:16" s="1" customFormat="1" ht="17.600000000000001" customHeight="1" outlineLevel="1">
      <c r="B18" s="32" t="s">
        <v>247</v>
      </c>
      <c r="C18" s="254"/>
      <c r="D18" s="361"/>
      <c r="E18" s="8"/>
      <c r="F18" s="363"/>
      <c r="G18" s="363"/>
      <c r="H18" s="363"/>
      <c r="I18" s="363"/>
      <c r="J18" s="363"/>
      <c r="K18" s="363"/>
      <c r="L18" s="363"/>
      <c r="M18" s="363"/>
      <c r="N18" s="363"/>
    </row>
    <row r="19" spans="1:16" s="1" customFormat="1" ht="17.600000000000001" customHeight="1" outlineLevel="1">
      <c r="B19" s="91"/>
      <c r="C19" s="254"/>
      <c r="D19" s="361"/>
      <c r="E19" s="8"/>
      <c r="F19" s="363"/>
      <c r="G19" s="363"/>
      <c r="H19" s="363"/>
      <c r="I19" s="363"/>
      <c r="J19" s="363"/>
      <c r="K19" s="363"/>
      <c r="L19" s="363"/>
      <c r="M19" s="363"/>
      <c r="N19" s="363"/>
    </row>
    <row r="20" spans="1:16" s="1" customFormat="1" ht="17.600000000000001" customHeight="1" outlineLevel="1">
      <c r="B20" s="104" t="s">
        <v>259</v>
      </c>
      <c r="C20" s="26"/>
      <c r="D20" s="361"/>
      <c r="E20" s="30"/>
      <c r="F20" s="371">
        <f>F13</f>
        <v>9834</v>
      </c>
      <c r="G20" s="371">
        <f t="shared" ref="G20:P20" si="5">G13</f>
        <v>15868</v>
      </c>
      <c r="H20" s="371">
        <f t="shared" si="5"/>
        <v>11906</v>
      </c>
      <c r="I20" s="371">
        <f t="shared" si="5"/>
        <v>13517</v>
      </c>
      <c r="J20" s="371">
        <f t="shared" si="5"/>
        <v>14304</v>
      </c>
      <c r="K20" s="371">
        <f t="shared" si="5"/>
        <v>15734.400000000001</v>
      </c>
      <c r="L20" s="371">
        <f t="shared" si="5"/>
        <v>16993.152000000002</v>
      </c>
      <c r="M20" s="371">
        <f t="shared" si="5"/>
        <v>18012.741120000002</v>
      </c>
      <c r="N20" s="371">
        <f t="shared" si="5"/>
        <v>18913.378176000002</v>
      </c>
      <c r="O20" s="371">
        <f t="shared" si="5"/>
        <v>19669.913303040004</v>
      </c>
      <c r="P20" s="371">
        <f t="shared" si="5"/>
        <v>20260.010702131203</v>
      </c>
    </row>
    <row r="21" spans="1:16" s="1" customFormat="1" ht="17.600000000000001" customHeight="1" outlineLevel="1">
      <c r="B21" s="104" t="s">
        <v>260</v>
      </c>
      <c r="C21" s="26"/>
      <c r="D21" s="361"/>
      <c r="E21" s="30"/>
      <c r="F21" s="371">
        <f>F16</f>
        <v>6841</v>
      </c>
      <c r="G21" s="371">
        <f t="shared" ref="G21:P21" si="6">G16</f>
        <v>11046</v>
      </c>
      <c r="H21" s="371">
        <f t="shared" si="6"/>
        <v>15068</v>
      </c>
      <c r="I21" s="371">
        <f t="shared" si="6"/>
        <v>47405</v>
      </c>
      <c r="J21" s="371">
        <f t="shared" si="6"/>
        <v>116193</v>
      </c>
      <c r="K21" s="371">
        <f t="shared" si="6"/>
        <v>191718.44999999998</v>
      </c>
      <c r="L21" s="371">
        <f t="shared" si="6"/>
        <v>258819.9075</v>
      </c>
      <c r="M21" s="371">
        <f t="shared" si="6"/>
        <v>310583.88899999997</v>
      </c>
      <c r="N21" s="371">
        <f t="shared" si="6"/>
        <v>347853.95568000001</v>
      </c>
      <c r="O21" s="371">
        <f t="shared" si="6"/>
        <v>375682.27213440003</v>
      </c>
      <c r="P21" s="371">
        <f t="shared" si="6"/>
        <v>394466.38574112003</v>
      </c>
    </row>
    <row r="22" spans="1:16" s="1" customFormat="1" ht="17.600000000000001" customHeight="1" outlineLevel="1" thickBot="1">
      <c r="B22" s="104" t="s">
        <v>133</v>
      </c>
      <c r="C22" s="26"/>
      <c r="D22" s="361"/>
      <c r="E22" s="30"/>
      <c r="F22" s="372">
        <f>SUM(F20:F21)</f>
        <v>16675</v>
      </c>
      <c r="G22" s="372">
        <f t="shared" ref="G22:P22" si="7">SUM(G20:G21)</f>
        <v>26914</v>
      </c>
      <c r="H22" s="372">
        <f t="shared" si="7"/>
        <v>26974</v>
      </c>
      <c r="I22" s="372">
        <f t="shared" si="7"/>
        <v>60922</v>
      </c>
      <c r="J22" s="372">
        <f t="shared" si="7"/>
        <v>130497</v>
      </c>
      <c r="K22" s="372">
        <f t="shared" si="7"/>
        <v>207452.84999999998</v>
      </c>
      <c r="L22" s="372">
        <f t="shared" si="7"/>
        <v>275813.05949999997</v>
      </c>
      <c r="M22" s="372">
        <f t="shared" si="7"/>
        <v>328596.63011999999</v>
      </c>
      <c r="N22" s="372">
        <f t="shared" si="7"/>
        <v>366767.33385600004</v>
      </c>
      <c r="O22" s="372">
        <f t="shared" si="7"/>
        <v>395352.18543744006</v>
      </c>
      <c r="P22" s="372">
        <f t="shared" si="7"/>
        <v>414726.39644325123</v>
      </c>
    </row>
    <row r="23" spans="1:16" s="1" customFormat="1" ht="17.600000000000001" customHeight="1" outlineLevel="1">
      <c r="B23" s="373"/>
      <c r="C23" s="374"/>
      <c r="D23" s="375"/>
      <c r="E23" s="376"/>
      <c r="F23" s="377"/>
      <c r="G23" s="377"/>
      <c r="H23" s="377"/>
      <c r="I23" s="377"/>
      <c r="J23" s="377"/>
      <c r="K23" s="377"/>
      <c r="L23" s="377"/>
      <c r="M23" s="377"/>
      <c r="N23" s="377"/>
      <c r="O23" s="221"/>
      <c r="P23" s="221"/>
    </row>
    <row r="24" spans="1:16" s="1" customFormat="1" ht="17.600000000000001" customHeight="1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6" s="1" customFormat="1" ht="17.600000000000001" customHeight="1">
      <c r="A25" s="1" t="s">
        <v>132</v>
      </c>
      <c r="B25" s="21" t="s">
        <v>248</v>
      </c>
      <c r="C25" s="22"/>
      <c r="D25" s="23"/>
      <c r="E25" s="23"/>
      <c r="F25" s="24"/>
      <c r="G25" s="24"/>
      <c r="H25" s="24"/>
      <c r="I25" s="24"/>
      <c r="J25" s="24"/>
      <c r="K25" s="24"/>
      <c r="L25" s="24"/>
      <c r="M25" s="24"/>
      <c r="N25" s="378"/>
      <c r="O25" s="378"/>
      <c r="P25" s="378"/>
    </row>
    <row r="26" spans="1:16" s="1" customFormat="1" ht="17.600000000000001" customHeight="1" outlineLevel="1">
      <c r="B26" s="25"/>
      <c r="C26" s="26"/>
      <c r="D26" s="27"/>
      <c r="E26" s="27"/>
      <c r="F26" s="28"/>
      <c r="G26" s="28"/>
      <c r="H26" s="28"/>
      <c r="I26" s="28"/>
      <c r="J26" s="28"/>
      <c r="K26" s="28"/>
      <c r="L26" s="28"/>
      <c r="M26" s="28"/>
      <c r="N26" s="28"/>
    </row>
    <row r="27" spans="1:16" s="1" customFormat="1" ht="17.600000000000001" customHeight="1" outlineLevel="1" thickBot="1">
      <c r="B27" s="29" t="s">
        <v>6</v>
      </c>
      <c r="C27" s="26"/>
      <c r="D27" s="30"/>
      <c r="E27" s="30"/>
      <c r="F27" s="144">
        <f t="shared" ref="F27:P27" si="8">F$5</f>
        <v>44227</v>
      </c>
      <c r="G27" s="144">
        <f t="shared" si="8"/>
        <v>44591</v>
      </c>
      <c r="H27" s="144">
        <f t="shared" si="8"/>
        <v>44955</v>
      </c>
      <c r="I27" s="144">
        <f t="shared" si="8"/>
        <v>45319</v>
      </c>
      <c r="J27" s="144">
        <f t="shared" si="8"/>
        <v>45683</v>
      </c>
      <c r="K27" s="144" t="str">
        <f t="shared" si="8"/>
        <v>2026F</v>
      </c>
      <c r="L27" s="144" t="str">
        <f t="shared" si="8"/>
        <v>2027F</v>
      </c>
      <c r="M27" s="144" t="str">
        <f t="shared" si="8"/>
        <v>2028F</v>
      </c>
      <c r="N27" s="144" t="str">
        <f t="shared" si="8"/>
        <v>2029F</v>
      </c>
      <c r="O27" s="144" t="str">
        <f t="shared" si="8"/>
        <v>2030F</v>
      </c>
      <c r="P27" s="144" t="str">
        <f t="shared" si="8"/>
        <v>Term</v>
      </c>
    </row>
    <row r="28" spans="1:16" s="1" customFormat="1" ht="17.600000000000001" customHeight="1" outlineLevel="1">
      <c r="B28" s="29" t="str">
        <f>$B$6</f>
        <v>Model Running: Base Case Drivers</v>
      </c>
      <c r="C28" s="26"/>
      <c r="D28" s="30"/>
      <c r="E28" s="30"/>
      <c r="F28" s="30"/>
      <c r="G28" s="30"/>
      <c r="H28" s="30"/>
      <c r="I28" s="63"/>
      <c r="J28" s="63"/>
      <c r="K28" s="63"/>
      <c r="L28" s="63"/>
      <c r="M28" s="63"/>
      <c r="N28" s="63"/>
    </row>
    <row r="29" spans="1:16" s="1" customFormat="1" ht="17.600000000000001" customHeight="1" outlineLevel="1">
      <c r="B29" s="29"/>
      <c r="C29" s="26"/>
      <c r="D29" s="30"/>
      <c r="E29" s="30"/>
      <c r="F29" s="30"/>
      <c r="G29" s="30"/>
      <c r="H29" s="30"/>
      <c r="I29" s="230"/>
      <c r="J29" s="230"/>
      <c r="K29" s="230"/>
      <c r="L29" s="230"/>
      <c r="M29" s="230"/>
      <c r="N29" s="67"/>
    </row>
    <row r="30" spans="1:16" s="1" customFormat="1" ht="17.600000000000001" customHeight="1" outlineLevel="1">
      <c r="B30" s="91" t="s">
        <v>133</v>
      </c>
      <c r="C30" s="26"/>
      <c r="D30" s="361"/>
      <c r="E30" s="30"/>
      <c r="F30" s="379">
        <f>F22</f>
        <v>16675</v>
      </c>
      <c r="G30" s="380">
        <f t="shared" ref="G30:P30" si="9">G22</f>
        <v>26914</v>
      </c>
      <c r="H30" s="380">
        <f t="shared" si="9"/>
        <v>26974</v>
      </c>
      <c r="I30" s="380">
        <f t="shared" si="9"/>
        <v>60922</v>
      </c>
      <c r="J30" s="380">
        <f t="shared" si="9"/>
        <v>130497</v>
      </c>
      <c r="K30" s="380">
        <f t="shared" si="9"/>
        <v>207452.84999999998</v>
      </c>
      <c r="L30" s="380">
        <f t="shared" si="9"/>
        <v>275813.05949999997</v>
      </c>
      <c r="M30" s="380">
        <f t="shared" si="9"/>
        <v>328596.63011999999</v>
      </c>
      <c r="N30" s="380">
        <f t="shared" si="9"/>
        <v>366767.33385600004</v>
      </c>
      <c r="O30" s="380">
        <f t="shared" si="9"/>
        <v>395352.18543744006</v>
      </c>
      <c r="P30" s="381">
        <f t="shared" si="9"/>
        <v>414726.39644325123</v>
      </c>
    </row>
    <row r="31" spans="1:16" s="1" customFormat="1" ht="17.600000000000001" customHeight="1" outlineLevel="1">
      <c r="B31" s="91" t="s">
        <v>265</v>
      </c>
      <c r="C31" s="26"/>
      <c r="D31" s="30"/>
      <c r="E31" s="30"/>
      <c r="F31" s="382"/>
      <c r="G31" s="383">
        <f t="shared" ref="G31:P31" si="10">(G30/F30)-1</f>
        <v>0.61403298350824587</v>
      </c>
      <c r="H31" s="383">
        <f t="shared" si="10"/>
        <v>2.2293230289069932E-3</v>
      </c>
      <c r="I31" s="383">
        <f t="shared" si="10"/>
        <v>1.2585452658115224</v>
      </c>
      <c r="J31" s="383">
        <f t="shared" si="10"/>
        <v>1.1420340763599355</v>
      </c>
      <c r="K31" s="383">
        <f t="shared" si="10"/>
        <v>0.58971355663348568</v>
      </c>
      <c r="L31" s="383">
        <f t="shared" si="10"/>
        <v>0.32952166962276008</v>
      </c>
      <c r="M31" s="383">
        <f t="shared" si="10"/>
        <v>0.1913744429494646</v>
      </c>
      <c r="N31" s="383">
        <f t="shared" si="10"/>
        <v>0.11616279729363166</v>
      </c>
      <c r="O31" s="383">
        <f t="shared" si="10"/>
        <v>7.7937288691753981E-2</v>
      </c>
      <c r="P31" s="384">
        <f t="shared" si="10"/>
        <v>4.900494222480245E-2</v>
      </c>
    </row>
    <row r="32" spans="1:16" s="1" customFormat="1" ht="17.600000000000001" customHeight="1" outlineLevel="1">
      <c r="B32" s="91"/>
      <c r="C32" s="26"/>
      <c r="D32" s="30"/>
      <c r="E32" s="30"/>
      <c r="F32" s="385"/>
      <c r="G32" s="385"/>
      <c r="H32" s="385"/>
      <c r="I32" s="68"/>
      <c r="J32" s="68"/>
      <c r="K32" s="68"/>
      <c r="L32" s="68"/>
      <c r="M32" s="68"/>
      <c r="N32" s="68"/>
    </row>
    <row r="33" spans="1:18" s="1" customFormat="1" ht="17.600000000000001" customHeight="1" outlineLevel="1">
      <c r="B33" s="91" t="s">
        <v>4</v>
      </c>
      <c r="C33" s="26"/>
      <c r="D33" s="30"/>
      <c r="E33" s="30"/>
      <c r="F33" s="386">
        <f>'Income Statement'!C14</f>
        <v>10557</v>
      </c>
      <c r="G33" s="386">
        <f>'Income Statement'!D14</f>
        <v>17475</v>
      </c>
      <c r="H33" s="386">
        <f>'Income Statement'!E14</f>
        <v>15356</v>
      </c>
      <c r="I33" s="386">
        <f>'Income Statement'!F14</f>
        <v>44301</v>
      </c>
      <c r="J33" s="386">
        <f>'Income Statement'!G14</f>
        <v>97858</v>
      </c>
      <c r="K33" s="386">
        <f>K30*K34</f>
        <v>151025.67479999998</v>
      </c>
      <c r="L33" s="386">
        <f t="shared" ref="L33:P33" si="11">L30*L34</f>
        <v>203825.85097049997</v>
      </c>
      <c r="M33" s="386">
        <f t="shared" si="11"/>
        <v>244804.4894394</v>
      </c>
      <c r="N33" s="386">
        <f t="shared" si="11"/>
        <v>264072.48037632002</v>
      </c>
      <c r="O33" s="386">
        <f t="shared" si="11"/>
        <v>276746.52980620804</v>
      </c>
      <c r="P33" s="386">
        <f t="shared" si="11"/>
        <v>282013.94958141085</v>
      </c>
    </row>
    <row r="34" spans="1:18" s="1" customFormat="1" ht="17.600000000000001" customHeight="1" outlineLevel="1">
      <c r="B34" s="91" t="s">
        <v>266</v>
      </c>
      <c r="C34" s="254"/>
      <c r="D34" s="361"/>
      <c r="E34" s="8"/>
      <c r="F34" s="363"/>
      <c r="G34" s="383">
        <f>G33/G30</f>
        <v>0.64929033216913135</v>
      </c>
      <c r="H34" s="383">
        <f t="shared" ref="H34:J34" si="12">H33/H30</f>
        <v>0.56928894490991322</v>
      </c>
      <c r="I34" s="383">
        <f t="shared" si="12"/>
        <v>0.72717573290436954</v>
      </c>
      <c r="J34" s="383">
        <f t="shared" si="12"/>
        <v>0.74988697058169917</v>
      </c>
      <c r="K34" s="383">
        <f>Inputs!G22</f>
        <v>0.72799999999999998</v>
      </c>
      <c r="L34" s="383">
        <f>Inputs!H22</f>
        <v>0.73899999999999999</v>
      </c>
      <c r="M34" s="383">
        <f>Inputs!I22</f>
        <v>0.745</v>
      </c>
      <c r="N34" s="383">
        <f>Inputs!J22</f>
        <v>0.72</v>
      </c>
      <c r="O34" s="383">
        <f>Inputs!K22</f>
        <v>0.7</v>
      </c>
      <c r="P34" s="383">
        <f>Inputs!L22</f>
        <v>0.68</v>
      </c>
    </row>
    <row r="35" spans="1:18" s="1" customFormat="1" ht="17.600000000000001" customHeight="1" outlineLevel="1">
      <c r="B35" s="91"/>
      <c r="C35" s="254"/>
      <c r="D35" s="361"/>
      <c r="E35" s="8"/>
      <c r="F35" s="387"/>
      <c r="G35" s="387"/>
      <c r="H35" s="387"/>
      <c r="I35" s="387"/>
      <c r="J35" s="387"/>
      <c r="K35" s="387"/>
      <c r="L35" s="387"/>
      <c r="M35" s="387"/>
      <c r="N35" s="387"/>
    </row>
    <row r="36" spans="1:18" s="1" customFormat="1" ht="17.600000000000001" customHeight="1" outlineLevel="1">
      <c r="B36" s="104" t="s">
        <v>265</v>
      </c>
      <c r="C36" s="254"/>
      <c r="D36" s="361"/>
      <c r="E36" s="8"/>
      <c r="F36" s="233"/>
      <c r="G36" s="388">
        <f>G31</f>
        <v>0.61403298350824587</v>
      </c>
      <c r="H36" s="388">
        <f t="shared" ref="H36:P36" si="13">H31</f>
        <v>2.2293230289069932E-3</v>
      </c>
      <c r="I36" s="388">
        <f t="shared" si="13"/>
        <v>1.2585452658115224</v>
      </c>
      <c r="J36" s="388">
        <f t="shared" si="13"/>
        <v>1.1420340763599355</v>
      </c>
      <c r="K36" s="388">
        <f t="shared" si="13"/>
        <v>0.58971355663348568</v>
      </c>
      <c r="L36" s="388">
        <f t="shared" si="13"/>
        <v>0.32952166962276008</v>
      </c>
      <c r="M36" s="388">
        <f t="shared" si="13"/>
        <v>0.1913744429494646</v>
      </c>
      <c r="N36" s="388">
        <f t="shared" si="13"/>
        <v>0.11616279729363166</v>
      </c>
      <c r="O36" s="388">
        <f t="shared" si="13"/>
        <v>7.7937288691753981E-2</v>
      </c>
      <c r="P36" s="388">
        <f t="shared" si="13"/>
        <v>4.900494222480245E-2</v>
      </c>
    </row>
    <row r="37" spans="1:18" s="1" customFormat="1" ht="17.600000000000001" customHeight="1" outlineLevel="1">
      <c r="B37" s="104" t="s">
        <v>267</v>
      </c>
      <c r="C37" s="254"/>
      <c r="D37" s="361"/>
      <c r="E37" s="8"/>
      <c r="F37" s="233"/>
      <c r="G37" s="388">
        <f>1-G38</f>
        <v>0.35070966783086865</v>
      </c>
      <c r="H37" s="388">
        <f t="shared" ref="H37:P37" si="14">1-H38</f>
        <v>0.43071105509008678</v>
      </c>
      <c r="I37" s="388">
        <f t="shared" si="14"/>
        <v>0.27282426709563046</v>
      </c>
      <c r="J37" s="388">
        <f t="shared" si="14"/>
        <v>0.25011302941830083</v>
      </c>
      <c r="K37" s="388">
        <f t="shared" si="14"/>
        <v>0.27200000000000002</v>
      </c>
      <c r="L37" s="388">
        <f t="shared" si="14"/>
        <v>0.26100000000000001</v>
      </c>
      <c r="M37" s="388">
        <f t="shared" si="14"/>
        <v>0.255</v>
      </c>
      <c r="N37" s="388">
        <f t="shared" si="14"/>
        <v>0.28000000000000003</v>
      </c>
      <c r="O37" s="388">
        <f t="shared" si="14"/>
        <v>0.30000000000000004</v>
      </c>
      <c r="P37" s="388">
        <f t="shared" si="14"/>
        <v>0.31999999999999995</v>
      </c>
    </row>
    <row r="38" spans="1:18" s="1" customFormat="1" ht="17.600000000000001" customHeight="1" outlineLevel="1" thickBot="1">
      <c r="B38" s="104" t="s">
        <v>266</v>
      </c>
      <c r="C38" s="254"/>
      <c r="D38" s="361"/>
      <c r="E38" s="8"/>
      <c r="F38" s="113"/>
      <c r="G38" s="389">
        <f>G34</f>
        <v>0.64929033216913135</v>
      </c>
      <c r="H38" s="389">
        <f t="shared" ref="H38:P38" si="15">H34</f>
        <v>0.56928894490991322</v>
      </c>
      <c r="I38" s="389">
        <f t="shared" si="15"/>
        <v>0.72717573290436954</v>
      </c>
      <c r="J38" s="389">
        <f t="shared" si="15"/>
        <v>0.74988697058169917</v>
      </c>
      <c r="K38" s="389">
        <f t="shared" si="15"/>
        <v>0.72799999999999998</v>
      </c>
      <c r="L38" s="389">
        <f t="shared" si="15"/>
        <v>0.73899999999999999</v>
      </c>
      <c r="M38" s="389">
        <f t="shared" si="15"/>
        <v>0.745</v>
      </c>
      <c r="N38" s="389">
        <f t="shared" si="15"/>
        <v>0.72</v>
      </c>
      <c r="O38" s="389">
        <f t="shared" si="15"/>
        <v>0.7</v>
      </c>
      <c r="P38" s="389">
        <f t="shared" si="15"/>
        <v>0.68</v>
      </c>
    </row>
    <row r="39" spans="1:18" s="1" customFormat="1" ht="17.600000000000001" customHeight="1" outlineLevel="1">
      <c r="B39" s="390"/>
      <c r="C39" s="391"/>
      <c r="D39" s="392"/>
      <c r="E39" s="393"/>
      <c r="F39" s="394"/>
      <c r="G39" s="394"/>
      <c r="H39" s="395"/>
      <c r="I39" s="395"/>
      <c r="J39" s="395"/>
      <c r="K39" s="395"/>
      <c r="L39" s="395"/>
      <c r="M39" s="395"/>
      <c r="N39" s="395"/>
      <c r="O39" s="395"/>
      <c r="P39" s="395"/>
    </row>
    <row r="40" spans="1:18" s="1" customFormat="1" ht="17.600000000000001" customHeight="1">
      <c r="B40" s="91"/>
      <c r="C40" s="26"/>
      <c r="D40" s="361"/>
      <c r="E40" s="30"/>
      <c r="F40" s="396"/>
      <c r="G40" s="396"/>
      <c r="H40" s="396"/>
      <c r="I40" s="397"/>
      <c r="J40" s="397"/>
      <c r="K40" s="397"/>
      <c r="L40" s="397"/>
      <c r="M40" s="397"/>
      <c r="N40" s="397"/>
    </row>
    <row r="41" spans="1:18" s="1" customFormat="1" ht="17.600000000000001" customHeight="1">
      <c r="A41" s="1" t="s">
        <v>132</v>
      </c>
      <c r="B41" s="21" t="s">
        <v>7</v>
      </c>
      <c r="C41" s="22"/>
      <c r="D41" s="23"/>
      <c r="E41" s="23"/>
      <c r="F41" s="24"/>
      <c r="G41" s="24"/>
      <c r="H41" s="24"/>
      <c r="I41" s="24"/>
      <c r="J41" s="24"/>
      <c r="K41" s="24"/>
      <c r="L41" s="24"/>
      <c r="M41" s="24"/>
      <c r="N41" s="378"/>
      <c r="O41" s="378"/>
      <c r="P41" s="378"/>
    </row>
    <row r="42" spans="1:18" s="1" customFormat="1" ht="17.600000000000001" customHeight="1" outlineLevel="1">
      <c r="B42" s="25"/>
      <c r="C42" s="26"/>
      <c r="D42" s="27"/>
      <c r="E42" s="27"/>
      <c r="F42" s="28"/>
      <c r="G42" s="28"/>
      <c r="H42" s="28"/>
      <c r="I42" s="28"/>
      <c r="J42" s="28"/>
      <c r="K42" s="28"/>
      <c r="L42" s="28"/>
      <c r="M42" s="28"/>
      <c r="N42" s="28"/>
    </row>
    <row r="43" spans="1:18" s="1" customFormat="1" ht="17.600000000000001" customHeight="1" outlineLevel="1" thickBot="1">
      <c r="B43" s="29" t="s">
        <v>6</v>
      </c>
      <c r="C43" s="26"/>
      <c r="D43" s="30"/>
      <c r="E43" s="30"/>
      <c r="F43" s="398">
        <f>F$5</f>
        <v>44227</v>
      </c>
      <c r="G43" s="398">
        <f t="shared" ref="G43:P43" si="16">G$5</f>
        <v>44591</v>
      </c>
      <c r="H43" s="398">
        <f t="shared" si="16"/>
        <v>44955</v>
      </c>
      <c r="I43" s="398">
        <f t="shared" si="16"/>
        <v>45319</v>
      </c>
      <c r="J43" s="398">
        <f t="shared" si="16"/>
        <v>45683</v>
      </c>
      <c r="K43" s="398" t="str">
        <f t="shared" si="16"/>
        <v>2026F</v>
      </c>
      <c r="L43" s="398" t="str">
        <f t="shared" si="16"/>
        <v>2027F</v>
      </c>
      <c r="M43" s="398" t="str">
        <f t="shared" si="16"/>
        <v>2028F</v>
      </c>
      <c r="N43" s="398" t="str">
        <f t="shared" si="16"/>
        <v>2029F</v>
      </c>
      <c r="O43" s="399" t="str">
        <f t="shared" si="16"/>
        <v>2030F</v>
      </c>
      <c r="P43" s="399" t="str">
        <f t="shared" si="16"/>
        <v>Term</v>
      </c>
    </row>
    <row r="44" spans="1:18" s="1" customFormat="1" ht="17.600000000000001" customHeight="1" outlineLevel="1">
      <c r="B44" s="29" t="str">
        <f>$B$6</f>
        <v>Model Running: Base Case Drivers</v>
      </c>
      <c r="C44" s="26"/>
      <c r="D44" s="30"/>
      <c r="E44" s="30"/>
      <c r="F44" s="30"/>
      <c r="G44" s="30"/>
      <c r="H44" s="30"/>
      <c r="I44" s="63"/>
      <c r="J44" s="63"/>
      <c r="K44" s="63"/>
      <c r="L44" s="63"/>
      <c r="M44" s="63"/>
      <c r="N44" s="63"/>
      <c r="O44" s="212"/>
      <c r="P44" s="212"/>
    </row>
    <row r="45" spans="1:18" s="1" customFormat="1" ht="17.600000000000001" customHeight="1" outlineLevel="1">
      <c r="B45" s="34"/>
      <c r="C45" s="26"/>
      <c r="D45" s="30"/>
      <c r="E45" s="30"/>
      <c r="F45" s="400"/>
      <c r="G45" s="400"/>
      <c r="H45" s="400"/>
      <c r="I45" s="400"/>
      <c r="J45" s="230"/>
      <c r="K45" s="230"/>
      <c r="L45" s="230"/>
      <c r="M45" s="230"/>
      <c r="N45" s="230"/>
      <c r="O45" s="212"/>
      <c r="P45" s="212"/>
    </row>
    <row r="46" spans="1:18" s="1" customFormat="1" ht="17.600000000000001" customHeight="1" outlineLevel="1">
      <c r="B46" s="104" t="s">
        <v>133</v>
      </c>
      <c r="C46" s="8"/>
      <c r="D46" s="30"/>
      <c r="E46" s="8"/>
      <c r="F46" s="401">
        <f t="shared" ref="F46:N46" si="17">F22</f>
        <v>16675</v>
      </c>
      <c r="G46" s="401">
        <f t="shared" si="17"/>
        <v>26914</v>
      </c>
      <c r="H46" s="401">
        <f t="shared" si="17"/>
        <v>26974</v>
      </c>
      <c r="I46" s="401">
        <f t="shared" si="17"/>
        <v>60922</v>
      </c>
      <c r="J46" s="401">
        <f t="shared" si="17"/>
        <v>130497</v>
      </c>
      <c r="K46" s="401">
        <f t="shared" si="17"/>
        <v>207452.84999999998</v>
      </c>
      <c r="L46" s="401">
        <f t="shared" si="17"/>
        <v>275813.05949999997</v>
      </c>
      <c r="M46" s="401">
        <f t="shared" si="17"/>
        <v>328596.63011999999</v>
      </c>
      <c r="N46" s="401">
        <f t="shared" si="17"/>
        <v>366767.33385600004</v>
      </c>
      <c r="O46" s="402">
        <f t="shared" ref="O46:P46" si="18">O22</f>
        <v>395352.18543744006</v>
      </c>
      <c r="P46" s="402">
        <f t="shared" si="18"/>
        <v>414726.39644325123</v>
      </c>
      <c r="R46" s="16"/>
    </row>
    <row r="47" spans="1:18" s="1" customFormat="1" ht="17.600000000000001" customHeight="1" outlineLevel="1">
      <c r="B47" s="104" t="s">
        <v>249</v>
      </c>
      <c r="C47" s="8"/>
      <c r="D47" s="403"/>
      <c r="E47" s="8"/>
      <c r="F47" s="404">
        <f>'Income Statement'!C13</f>
        <v>6118</v>
      </c>
      <c r="G47" s="404">
        <f>'Income Statement'!D13</f>
        <v>9439</v>
      </c>
      <c r="H47" s="404">
        <f>'Income Statement'!E13</f>
        <v>11618</v>
      </c>
      <c r="I47" s="404">
        <f>'Income Statement'!F13</f>
        <v>16621</v>
      </c>
      <c r="J47" s="404">
        <f>'Income Statement'!G13</f>
        <v>32639</v>
      </c>
      <c r="K47" s="404">
        <f>K30*K37</f>
        <v>56427.175199999998</v>
      </c>
      <c r="L47" s="404">
        <f>L30*L37</f>
        <v>71987.2085295</v>
      </c>
      <c r="M47" s="404">
        <f t="shared" ref="M47:P47" si="19">M30*M37</f>
        <v>83792.140680600001</v>
      </c>
      <c r="N47" s="404">
        <f t="shared" si="19"/>
        <v>102694.85347968002</v>
      </c>
      <c r="O47" s="405">
        <f t="shared" si="19"/>
        <v>118605.65563123203</v>
      </c>
      <c r="P47" s="406">
        <f t="shared" si="19"/>
        <v>132712.44686184038</v>
      </c>
    </row>
    <row r="48" spans="1:18" s="1" customFormat="1" ht="17.600000000000001" customHeight="1" outlineLevel="1">
      <c r="B48" s="37" t="s">
        <v>4</v>
      </c>
      <c r="C48" s="407"/>
      <c r="D48" s="8"/>
      <c r="E48" s="8"/>
      <c r="F48" s="408">
        <f t="shared" ref="F48:P48" si="20">F46-F47</f>
        <v>10557</v>
      </c>
      <c r="G48" s="408">
        <f t="shared" si="20"/>
        <v>17475</v>
      </c>
      <c r="H48" s="408">
        <f t="shared" si="20"/>
        <v>15356</v>
      </c>
      <c r="I48" s="408">
        <f t="shared" si="20"/>
        <v>44301</v>
      </c>
      <c r="J48" s="408">
        <f t="shared" si="20"/>
        <v>97858</v>
      </c>
      <c r="K48" s="408">
        <f t="shared" si="20"/>
        <v>151025.67479999998</v>
      </c>
      <c r="L48" s="408">
        <f t="shared" si="20"/>
        <v>203825.85097049997</v>
      </c>
      <c r="M48" s="408">
        <f t="shared" si="20"/>
        <v>244804.48943939997</v>
      </c>
      <c r="N48" s="408">
        <f t="shared" si="20"/>
        <v>264072.48037632002</v>
      </c>
      <c r="O48" s="408">
        <f t="shared" si="20"/>
        <v>276746.52980620804</v>
      </c>
      <c r="P48" s="409">
        <f t="shared" si="20"/>
        <v>282013.94958141085</v>
      </c>
    </row>
    <row r="49" spans="2:17" s="1" customFormat="1" ht="17.600000000000001" customHeight="1" outlineLevel="1">
      <c r="P49" s="211"/>
    </row>
    <row r="50" spans="2:17" s="1" customFormat="1" ht="17.600000000000001" customHeight="1" outlineLevel="1">
      <c r="B50" s="104" t="s">
        <v>269</v>
      </c>
      <c r="C50" s="8"/>
      <c r="D50" s="410"/>
      <c r="E50" s="8"/>
      <c r="F50" s="411">
        <f>'Income Statement'!C16</f>
        <v>1912</v>
      </c>
      <c r="G50" s="411">
        <f>'Income Statement'!D16</f>
        <v>2166</v>
      </c>
      <c r="H50" s="411">
        <f>'Income Statement'!E16</f>
        <v>2440</v>
      </c>
      <c r="I50" s="411">
        <f>'Income Statement'!F16</f>
        <v>2654</v>
      </c>
      <c r="J50" s="411">
        <f>'Income Statement'!G16</f>
        <v>3491</v>
      </c>
      <c r="K50" s="411">
        <f>K75</f>
        <v>8713.0196999999989</v>
      </c>
      <c r="L50" s="411">
        <f t="shared" ref="L50:P50" si="21">L75</f>
        <v>11032.522379999999</v>
      </c>
      <c r="M50" s="411">
        <f t="shared" si="21"/>
        <v>12486.671944559999</v>
      </c>
      <c r="N50" s="411">
        <f t="shared" si="21"/>
        <v>12836.856684960003</v>
      </c>
      <c r="O50" s="411">
        <f t="shared" si="21"/>
        <v>13046.622119435522</v>
      </c>
      <c r="P50" s="412">
        <f t="shared" si="21"/>
        <v>13685.971082627291</v>
      </c>
    </row>
    <row r="51" spans="2:17" s="1" customFormat="1" ht="17.600000000000001" customHeight="1" outlineLevel="1">
      <c r="B51" s="104" t="s">
        <v>276</v>
      </c>
      <c r="C51" s="8"/>
      <c r="D51" s="8"/>
      <c r="E51" s="8"/>
      <c r="F51" s="413">
        <f>'Income Statement'!C17</f>
        <v>3924</v>
      </c>
      <c r="G51" s="413">
        <f>'Income Statement'!D17</f>
        <v>5268</v>
      </c>
      <c r="H51" s="413">
        <f>'Income Statement'!E17</f>
        <v>7339</v>
      </c>
      <c r="I51" s="413">
        <f>'Income Statement'!F17</f>
        <v>8675</v>
      </c>
      <c r="J51" s="413">
        <f>'Income Statement'!G17</f>
        <v>12914</v>
      </c>
      <c r="K51" s="413">
        <f>K78</f>
        <v>24894.341999999997</v>
      </c>
      <c r="L51" s="413">
        <f t="shared" ref="L51:P51" si="22">L78</f>
        <v>29787.810425999996</v>
      </c>
      <c r="M51" s="413">
        <f t="shared" si="22"/>
        <v>32859.663011999997</v>
      </c>
      <c r="N51" s="413">
        <f t="shared" si="22"/>
        <v>33009.060047040002</v>
      </c>
      <c r="O51" s="413">
        <f t="shared" si="22"/>
        <v>33604.935762182409</v>
      </c>
      <c r="P51" s="414">
        <f t="shared" si="22"/>
        <v>35251.743697676357</v>
      </c>
    </row>
    <row r="52" spans="2:17" s="1" customFormat="1" ht="17.600000000000001" customHeight="1" outlineLevel="1">
      <c r="B52" s="37" t="s">
        <v>2</v>
      </c>
      <c r="C52" s="407"/>
      <c r="D52" s="8"/>
      <c r="E52" s="8"/>
      <c r="F52" s="408">
        <f t="shared" ref="F52:N52" si="23">F47-SUM(F50:F51)</f>
        <v>282</v>
      </c>
      <c r="G52" s="408">
        <f t="shared" si="23"/>
        <v>2005</v>
      </c>
      <c r="H52" s="408">
        <f t="shared" si="23"/>
        <v>1839</v>
      </c>
      <c r="I52" s="408">
        <f t="shared" si="23"/>
        <v>5292</v>
      </c>
      <c r="J52" s="408">
        <f t="shared" si="23"/>
        <v>16234</v>
      </c>
      <c r="K52" s="408">
        <f t="shared" si="23"/>
        <v>22819.813500000004</v>
      </c>
      <c r="L52" s="408">
        <f t="shared" si="23"/>
        <v>31166.875723500008</v>
      </c>
      <c r="M52" s="415">
        <f t="shared" si="23"/>
        <v>38445.805724040008</v>
      </c>
      <c r="N52" s="415">
        <f t="shared" si="23"/>
        <v>56848.936747680018</v>
      </c>
      <c r="O52" s="415">
        <f t="shared" ref="O52:P52" si="24">O47-SUM(O50:O51)</f>
        <v>71954.097749614099</v>
      </c>
      <c r="P52" s="416">
        <f t="shared" si="24"/>
        <v>83774.732081536727</v>
      </c>
    </row>
    <row r="53" spans="2:17" s="1" customFormat="1" ht="17.600000000000001" customHeight="1" outlineLevel="1">
      <c r="B53" s="37"/>
      <c r="C53" s="407"/>
      <c r="D53" s="8"/>
      <c r="E53" s="8"/>
      <c r="F53" s="417"/>
      <c r="G53" s="417"/>
      <c r="H53" s="417"/>
      <c r="I53" s="408"/>
      <c r="J53" s="408"/>
      <c r="K53" s="408"/>
      <c r="L53" s="408"/>
      <c r="M53" s="408"/>
      <c r="N53" s="408"/>
      <c r="P53" s="211"/>
    </row>
    <row r="54" spans="2:17" s="1" customFormat="1" ht="17.600000000000001" customHeight="1" outlineLevel="1">
      <c r="B54" s="104" t="s">
        <v>270</v>
      </c>
      <c r="C54" s="8"/>
      <c r="D54" s="8"/>
      <c r="E54" s="8"/>
      <c r="F54" s="404">
        <f>-'Balance Sheet'!C23</f>
        <v>1408</v>
      </c>
      <c r="G54" s="404">
        <f>-'Balance Sheet'!D23</f>
        <v>1903</v>
      </c>
      <c r="H54" s="404">
        <f>-'Balance Sheet'!E23</f>
        <v>2694</v>
      </c>
      <c r="I54" s="404">
        <f>-'Balance Sheet'!F23</f>
        <v>3509</v>
      </c>
      <c r="J54" s="404">
        <f>-'Balance Sheet'!G23</f>
        <v>4401</v>
      </c>
      <c r="K54" s="404">
        <f>K121</f>
        <v>1812.7689124999999</v>
      </c>
      <c r="L54" s="404">
        <f t="shared" ref="L54:O54" si="25">L121</f>
        <v>2923.1016304999998</v>
      </c>
      <c r="M54" s="404">
        <f t="shared" si="25"/>
        <v>4333.3909062799994</v>
      </c>
      <c r="N54" s="404">
        <f t="shared" si="25"/>
        <v>5925.3428777359995</v>
      </c>
      <c r="O54" s="404">
        <f t="shared" si="25"/>
        <v>7607.1657806931198</v>
      </c>
      <c r="P54" s="418">
        <f>P88</f>
        <v>10368.159911081282</v>
      </c>
    </row>
    <row r="55" spans="2:17" s="1" customFormat="1" ht="17.600000000000001" customHeight="1" outlineLevel="1">
      <c r="B55" s="37" t="s">
        <v>1</v>
      </c>
      <c r="C55" s="407"/>
      <c r="D55" s="8"/>
      <c r="E55" s="8"/>
      <c r="F55" s="408">
        <f t="shared" ref="F55" si="26">F52-F54</f>
        <v>-1126</v>
      </c>
      <c r="G55" s="408">
        <f t="shared" ref="G55" si="27">G52-G54</f>
        <v>102</v>
      </c>
      <c r="H55" s="408">
        <f t="shared" ref="H55" si="28">H52-H54</f>
        <v>-855</v>
      </c>
      <c r="I55" s="408">
        <f t="shared" ref="I55" si="29">I52-I54</f>
        <v>1783</v>
      </c>
      <c r="J55" s="408">
        <f t="shared" ref="J55" si="30">J52-J54</f>
        <v>11833</v>
      </c>
      <c r="K55" s="408">
        <f t="shared" ref="K55" si="31">K52-K54</f>
        <v>21007.044587500004</v>
      </c>
      <c r="L55" s="408">
        <f t="shared" ref="L55" si="32">L52-L54</f>
        <v>28243.774093000007</v>
      </c>
      <c r="M55" s="408">
        <f t="shared" ref="M55" si="33">M52-M54</f>
        <v>34112.414817760007</v>
      </c>
      <c r="N55" s="408">
        <f t="shared" ref="N55" si="34">N52-N54</f>
        <v>50923.593869944016</v>
      </c>
      <c r="O55" s="408">
        <f t="shared" ref="O55" si="35">O52-O54</f>
        <v>64346.931968920981</v>
      </c>
      <c r="P55" s="419">
        <f t="shared" ref="P55" si="36">P52-P54</f>
        <v>73406.572170455445</v>
      </c>
    </row>
    <row r="56" spans="2:17" s="1" customFormat="1" ht="17.600000000000001" customHeight="1" outlineLevel="1">
      <c r="B56" s="37"/>
      <c r="C56" s="407"/>
      <c r="D56" s="8"/>
      <c r="E56" s="8"/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19"/>
      <c r="Q56" s="14"/>
    </row>
    <row r="57" spans="2:17" s="1" customFormat="1" ht="17.600000000000001" customHeight="1" outlineLevel="1">
      <c r="B57" s="104" t="s">
        <v>271</v>
      </c>
      <c r="C57" s="8"/>
      <c r="D57" s="8"/>
      <c r="E57" s="8"/>
      <c r="F57" s="404">
        <f>'Income Statement'!C27</f>
        <v>-127</v>
      </c>
      <c r="G57" s="404">
        <f>'Income Statement'!D27</f>
        <v>-207</v>
      </c>
      <c r="H57" s="404">
        <f>'Income Statement'!E27</f>
        <v>5</v>
      </c>
      <c r="I57" s="404">
        <f>'Income Statement'!F27</f>
        <v>609</v>
      </c>
      <c r="J57" s="404">
        <f>'Income Statement'!G27</f>
        <v>1539</v>
      </c>
      <c r="K57" s="404">
        <f>K$46*Inputs!G$51</f>
        <v>829.81139999999994</v>
      </c>
      <c r="L57" s="404">
        <f>L$46*Inputs!H$51</f>
        <v>1241.1587677499997</v>
      </c>
      <c r="M57" s="404">
        <f>M$46*Inputs!I$51</f>
        <v>1642.9831506</v>
      </c>
      <c r="N57" s="404">
        <f>N$46*Inputs!J$51</f>
        <v>1833.8366692800003</v>
      </c>
      <c r="O57" s="404">
        <f>O$46*Inputs!K$51</f>
        <v>1976.7609271872004</v>
      </c>
      <c r="P57" s="418">
        <f>P$46*Inputs!L$51</f>
        <v>2073.6319822162563</v>
      </c>
    </row>
    <row r="58" spans="2:17" s="1" customFormat="1" ht="17.600000000000001" customHeight="1" outlineLevel="1">
      <c r="B58" s="37" t="s">
        <v>272</v>
      </c>
      <c r="C58" s="407"/>
      <c r="D58" s="8"/>
      <c r="E58" s="8"/>
      <c r="F58" s="408">
        <f t="shared" ref="F58:P58" si="37">F55-F57</f>
        <v>-999</v>
      </c>
      <c r="G58" s="408">
        <f t="shared" si="37"/>
        <v>309</v>
      </c>
      <c r="H58" s="408">
        <f t="shared" si="37"/>
        <v>-860</v>
      </c>
      <c r="I58" s="408">
        <f t="shared" si="37"/>
        <v>1174</v>
      </c>
      <c r="J58" s="408">
        <f t="shared" si="37"/>
        <v>10294</v>
      </c>
      <c r="K58" s="408">
        <f t="shared" si="37"/>
        <v>20177.233187500005</v>
      </c>
      <c r="L58" s="408">
        <f t="shared" si="37"/>
        <v>27002.615325250008</v>
      </c>
      <c r="M58" s="408">
        <f t="shared" si="37"/>
        <v>32469.431667160006</v>
      </c>
      <c r="N58" s="408">
        <f t="shared" si="37"/>
        <v>49089.757200664018</v>
      </c>
      <c r="O58" s="408">
        <f t="shared" si="37"/>
        <v>62370.171041733782</v>
      </c>
      <c r="P58" s="420">
        <f t="shared" si="37"/>
        <v>71332.940188239183</v>
      </c>
    </row>
    <row r="59" spans="2:17" s="1" customFormat="1" ht="17.600000000000001" customHeight="1" outlineLevel="1">
      <c r="B59" s="37"/>
      <c r="C59" s="407"/>
      <c r="D59" s="8"/>
      <c r="E59" s="8"/>
      <c r="F59" s="408"/>
      <c r="G59" s="408"/>
      <c r="H59" s="408"/>
      <c r="I59" s="408"/>
      <c r="J59" s="408"/>
      <c r="K59" s="408"/>
      <c r="L59" s="408"/>
      <c r="M59" s="408"/>
      <c r="N59" s="408"/>
      <c r="O59" s="421"/>
      <c r="P59" s="212"/>
    </row>
    <row r="60" spans="2:17" s="1" customFormat="1" ht="17.600000000000001" customHeight="1" outlineLevel="1">
      <c r="B60" s="104" t="s">
        <v>273</v>
      </c>
      <c r="C60" s="8"/>
      <c r="D60" s="8"/>
      <c r="E60" s="8"/>
      <c r="F60" s="411">
        <f>'Income Statement'!C80</f>
        <v>359</v>
      </c>
      <c r="G60" s="411">
        <f>'Income Statement'!D80</f>
        <v>595</v>
      </c>
      <c r="H60" s="411">
        <f>'Income Statement'!E80</f>
        <v>1977</v>
      </c>
      <c r="I60" s="411">
        <f>'Income Statement'!F80</f>
        <v>6547</v>
      </c>
      <c r="J60" s="411">
        <f>'Income Statement'!G80</f>
        <v>15623</v>
      </c>
      <c r="K60" s="411">
        <f>K212</f>
        <v>0</v>
      </c>
      <c r="L60" s="411">
        <f t="shared" ref="L60:P61" si="38">L212</f>
        <v>3304.651573499752</v>
      </c>
      <c r="M60" s="411">
        <f t="shared" si="38"/>
        <v>4364.5273540611606</v>
      </c>
      <c r="N60" s="411">
        <f t="shared" si="38"/>
        <v>6528.1914579766399</v>
      </c>
      <c r="O60" s="406">
        <f t="shared" si="38"/>
        <v>8290.0798323544477</v>
      </c>
      <c r="P60" s="406">
        <f>Inputs!L79*Model!P58</f>
        <v>8916.6175235298979</v>
      </c>
    </row>
    <row r="61" spans="2:17" s="1" customFormat="1" ht="17.600000000000001" customHeight="1" outlineLevel="1">
      <c r="B61" s="104" t="s">
        <v>274</v>
      </c>
      <c r="C61" s="8"/>
      <c r="D61" s="8"/>
      <c r="E61" s="8"/>
      <c r="F61" s="404">
        <f>'Income Statement'!C83</f>
        <v>-282</v>
      </c>
      <c r="G61" s="404">
        <f>'Income Statement'!D83</f>
        <v>-406</v>
      </c>
      <c r="H61" s="404">
        <f>'Income Statement'!E83</f>
        <v>-2164</v>
      </c>
      <c r="I61" s="404">
        <f>'Income Statement'!F83</f>
        <v>-2489</v>
      </c>
      <c r="J61" s="404">
        <f>'Income Statement'!G83</f>
        <v>-4477</v>
      </c>
      <c r="K61" s="422">
        <f>K213</f>
        <v>2522.1541484375007</v>
      </c>
      <c r="L61" s="422">
        <f t="shared" si="38"/>
        <v>70.675342156499028</v>
      </c>
      <c r="M61" s="422">
        <f t="shared" si="38"/>
        <v>-305.84839566615983</v>
      </c>
      <c r="N61" s="422">
        <f t="shared" si="38"/>
        <v>-391.97180789363756</v>
      </c>
      <c r="O61" s="423">
        <f t="shared" si="38"/>
        <v>-493.808452137725</v>
      </c>
      <c r="P61" s="423">
        <f t="shared" si="38"/>
        <v>0</v>
      </c>
    </row>
    <row r="62" spans="2:17" s="1" customFormat="1" ht="17.600000000000001" customHeight="1" outlineLevel="1">
      <c r="B62" s="104" t="s">
        <v>275</v>
      </c>
      <c r="C62" s="8"/>
      <c r="D62" s="8"/>
      <c r="E62" s="8"/>
      <c r="F62" s="424">
        <f t="shared" ref="F62" si="39">SUM(F60:F61)</f>
        <v>77</v>
      </c>
      <c r="G62" s="424">
        <f t="shared" ref="G62:P62" si="40">SUM(G60:G61)</f>
        <v>189</v>
      </c>
      <c r="H62" s="424">
        <f t="shared" si="40"/>
        <v>-187</v>
      </c>
      <c r="I62" s="424">
        <f t="shared" si="40"/>
        <v>4058</v>
      </c>
      <c r="J62" s="424">
        <f t="shared" si="40"/>
        <v>11146</v>
      </c>
      <c r="K62" s="425">
        <f t="shared" si="40"/>
        <v>2522.1541484375007</v>
      </c>
      <c r="L62" s="425">
        <f t="shared" si="40"/>
        <v>3375.326915656251</v>
      </c>
      <c r="M62" s="425">
        <f t="shared" si="40"/>
        <v>4058.6789583950008</v>
      </c>
      <c r="N62" s="425">
        <f t="shared" si="40"/>
        <v>6136.2196500830023</v>
      </c>
      <c r="O62" s="426">
        <f t="shared" si="40"/>
        <v>7796.2713802167227</v>
      </c>
      <c r="P62" s="427">
        <f t="shared" si="40"/>
        <v>8916.6175235298979</v>
      </c>
    </row>
    <row r="63" spans="2:17" s="1" customFormat="1" ht="17.600000000000001" customHeight="1" outlineLevel="1">
      <c r="B63" s="104"/>
      <c r="C63" s="8"/>
      <c r="D63" s="8"/>
      <c r="E63" s="8"/>
      <c r="F63" s="428"/>
      <c r="G63" s="428"/>
      <c r="H63" s="428"/>
      <c r="I63" s="428"/>
      <c r="J63" s="428"/>
      <c r="K63" s="428"/>
      <c r="L63" s="428"/>
      <c r="M63" s="428"/>
      <c r="N63" s="428"/>
      <c r="O63" s="429"/>
      <c r="P63" s="429"/>
    </row>
    <row r="64" spans="2:17" s="1" customFormat="1" ht="17.600000000000001" customHeight="1" outlineLevel="1" thickBot="1">
      <c r="B64" s="37" t="s">
        <v>5</v>
      </c>
      <c r="C64" s="407"/>
      <c r="D64" s="8"/>
      <c r="E64" s="8"/>
      <c r="F64" s="430">
        <f t="shared" ref="F64:P64" si="41">F58-F62</f>
        <v>-1076</v>
      </c>
      <c r="G64" s="430">
        <f t="shared" si="41"/>
        <v>120</v>
      </c>
      <c r="H64" s="430">
        <f t="shared" si="41"/>
        <v>-673</v>
      </c>
      <c r="I64" s="430">
        <f t="shared" si="41"/>
        <v>-2884</v>
      </c>
      <c r="J64" s="430">
        <f t="shared" si="41"/>
        <v>-852</v>
      </c>
      <c r="K64" s="430">
        <f t="shared" si="41"/>
        <v>17655.079039062504</v>
      </c>
      <c r="L64" s="430">
        <f t="shared" si="41"/>
        <v>23627.288409593755</v>
      </c>
      <c r="M64" s="430">
        <f t="shared" si="41"/>
        <v>28410.752708765005</v>
      </c>
      <c r="N64" s="430">
        <f t="shared" si="41"/>
        <v>42953.537550581015</v>
      </c>
      <c r="O64" s="430">
        <f t="shared" si="41"/>
        <v>54573.899661517062</v>
      </c>
      <c r="P64" s="431">
        <f t="shared" si="41"/>
        <v>62416.322664709282</v>
      </c>
    </row>
    <row r="65" spans="1:16" s="1" customFormat="1" ht="17.600000000000001" customHeight="1" outlineLevel="1"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</row>
    <row r="66" spans="1:16" s="1" customFormat="1" ht="17.600000000000001" customHeight="1"/>
    <row r="67" spans="1:16" s="1" customFormat="1" ht="17.600000000000001" customHeight="1">
      <c r="A67" s="1" t="s">
        <v>132</v>
      </c>
      <c r="B67" s="21" t="s">
        <v>278</v>
      </c>
      <c r="C67" s="22"/>
      <c r="D67" s="23"/>
      <c r="E67" s="23"/>
      <c r="F67" s="24"/>
      <c r="G67" s="24"/>
      <c r="H67" s="24"/>
      <c r="I67" s="24"/>
      <c r="J67" s="24"/>
      <c r="K67" s="24"/>
      <c r="L67" s="24"/>
      <c r="M67" s="24"/>
      <c r="N67" s="378"/>
      <c r="O67" s="378"/>
      <c r="P67" s="378"/>
    </row>
    <row r="68" spans="1:16" s="1" customFormat="1" ht="17.600000000000001" customHeight="1" outlineLevel="1"/>
    <row r="69" spans="1:16" s="1" customFormat="1" ht="17.600000000000001" customHeight="1" outlineLevel="1" thickBot="1">
      <c r="B69" s="29" t="s">
        <v>6</v>
      </c>
      <c r="C69" s="26"/>
      <c r="D69" s="30"/>
      <c r="E69" s="30"/>
      <c r="F69" s="398">
        <f>F$5</f>
        <v>44227</v>
      </c>
      <c r="G69" s="398">
        <f t="shared" ref="G69:P69" si="42">G$5</f>
        <v>44591</v>
      </c>
      <c r="H69" s="398">
        <f t="shared" si="42"/>
        <v>44955</v>
      </c>
      <c r="I69" s="398">
        <f t="shared" si="42"/>
        <v>45319</v>
      </c>
      <c r="J69" s="398">
        <f t="shared" si="42"/>
        <v>45683</v>
      </c>
      <c r="K69" s="398" t="str">
        <f t="shared" si="42"/>
        <v>2026F</v>
      </c>
      <c r="L69" s="398" t="str">
        <f t="shared" si="42"/>
        <v>2027F</v>
      </c>
      <c r="M69" s="398" t="str">
        <f t="shared" si="42"/>
        <v>2028F</v>
      </c>
      <c r="N69" s="398" t="str">
        <f t="shared" si="42"/>
        <v>2029F</v>
      </c>
      <c r="O69" s="398" t="str">
        <f t="shared" si="42"/>
        <v>2030F</v>
      </c>
      <c r="P69" s="398" t="str">
        <f t="shared" si="42"/>
        <v>Term</v>
      </c>
    </row>
    <row r="70" spans="1:16" s="1" customFormat="1" ht="17.600000000000001" customHeight="1" outlineLevel="1">
      <c r="B70" s="29" t="str">
        <f>$B$6</f>
        <v>Model Running: Base Case Drivers</v>
      </c>
      <c r="C70" s="26"/>
      <c r="D70" s="30"/>
      <c r="E70" s="30"/>
      <c r="F70" s="30"/>
      <c r="G70" s="30"/>
      <c r="H70" s="30"/>
      <c r="I70" s="63"/>
      <c r="J70" s="63"/>
      <c r="K70" s="63"/>
      <c r="L70" s="63"/>
      <c r="M70" s="63"/>
      <c r="N70" s="63"/>
    </row>
    <row r="71" spans="1:16" s="1" customFormat="1" ht="17.600000000000001" customHeight="1" outlineLevel="1">
      <c r="B71" s="34"/>
      <c r="C71" s="26"/>
      <c r="D71" s="30"/>
      <c r="E71" s="30"/>
      <c r="F71" s="432"/>
      <c r="G71" s="432"/>
      <c r="H71" s="432"/>
      <c r="I71" s="400"/>
      <c r="J71" s="230"/>
      <c r="K71" s="230"/>
      <c r="L71" s="230"/>
      <c r="M71" s="230"/>
      <c r="N71" s="230"/>
    </row>
    <row r="72" spans="1:16" s="1" customFormat="1" ht="17.600000000000001" customHeight="1" outlineLevel="1">
      <c r="A72" s="160"/>
      <c r="B72" s="433" t="s">
        <v>133</v>
      </c>
      <c r="C72" s="434"/>
      <c r="D72" s="435"/>
      <c r="E72" s="434"/>
      <c r="F72" s="436">
        <f t="shared" ref="F72:P72" si="43">F46</f>
        <v>16675</v>
      </c>
      <c r="G72" s="436">
        <f t="shared" si="43"/>
        <v>26914</v>
      </c>
      <c r="H72" s="436">
        <f t="shared" si="43"/>
        <v>26974</v>
      </c>
      <c r="I72" s="436">
        <f t="shared" si="43"/>
        <v>60922</v>
      </c>
      <c r="J72" s="436">
        <f t="shared" si="43"/>
        <v>130497</v>
      </c>
      <c r="K72" s="436">
        <f t="shared" si="43"/>
        <v>207452.84999999998</v>
      </c>
      <c r="L72" s="436">
        <f t="shared" si="43"/>
        <v>275813.05949999997</v>
      </c>
      <c r="M72" s="436">
        <f t="shared" si="43"/>
        <v>328596.63011999999</v>
      </c>
      <c r="N72" s="436">
        <f t="shared" si="43"/>
        <v>366767.33385600004</v>
      </c>
      <c r="O72" s="436">
        <f t="shared" si="43"/>
        <v>395352.18543744006</v>
      </c>
      <c r="P72" s="437">
        <f t="shared" si="43"/>
        <v>414726.39644325123</v>
      </c>
    </row>
    <row r="73" spans="1:16" ht="17.600000000000001" customHeight="1" outlineLevel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7.600000000000001" customHeight="1" outlineLevel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7.600000000000001" customHeight="1" outlineLevel="1">
      <c r="B75" s="1" t="str">
        <f>B50</f>
        <v>SG&amp;A</v>
      </c>
      <c r="C75" s="1"/>
      <c r="D75" s="1"/>
      <c r="E75" s="1"/>
      <c r="F75" s="438">
        <f>F50</f>
        <v>1912</v>
      </c>
      <c r="G75" s="438">
        <f>G50</f>
        <v>2166</v>
      </c>
      <c r="H75" s="438">
        <f>H50</f>
        <v>2440</v>
      </c>
      <c r="I75" s="438">
        <f>I50</f>
        <v>2654</v>
      </c>
      <c r="J75" s="438">
        <f>J50</f>
        <v>3491</v>
      </c>
      <c r="K75" s="438">
        <f t="shared" ref="K75:P75" si="44">K72*K76</f>
        <v>8713.0196999999989</v>
      </c>
      <c r="L75" s="438">
        <f t="shared" si="44"/>
        <v>11032.522379999999</v>
      </c>
      <c r="M75" s="438">
        <f t="shared" si="44"/>
        <v>12486.671944559999</v>
      </c>
      <c r="N75" s="438">
        <f t="shared" si="44"/>
        <v>12836.856684960003</v>
      </c>
      <c r="O75" s="438">
        <f t="shared" si="44"/>
        <v>13046.622119435522</v>
      </c>
      <c r="P75" s="438">
        <f t="shared" si="44"/>
        <v>13685.971082627291</v>
      </c>
    </row>
    <row r="76" spans="1:16" ht="17.600000000000001" customHeight="1" outlineLevel="1">
      <c r="B76" s="1" t="s">
        <v>279</v>
      </c>
      <c r="C76" s="1"/>
      <c r="D76" s="1"/>
      <c r="E76" s="1"/>
      <c r="F76" s="439">
        <f>F75/F72</f>
        <v>0.11466266866566717</v>
      </c>
      <c r="G76" s="439">
        <f>G75/G72</f>
        <v>8.0478561343538674E-2</v>
      </c>
      <c r="H76" s="439">
        <f>H75/H72</f>
        <v>9.0457477570994288E-2</v>
      </c>
      <c r="I76" s="439">
        <f>I75/I72</f>
        <v>4.3563901382095135E-2</v>
      </c>
      <c r="J76" s="439">
        <f>J75/J72</f>
        <v>2.6751572833091947E-2</v>
      </c>
      <c r="K76" s="439">
        <f>Inputs!G28</f>
        <v>4.2000000000000003E-2</v>
      </c>
      <c r="L76" s="439">
        <f>Inputs!H28</f>
        <v>0.04</v>
      </c>
      <c r="M76" s="439">
        <f>Inputs!I28</f>
        <v>3.7999999999999999E-2</v>
      </c>
      <c r="N76" s="439">
        <f>Inputs!J28</f>
        <v>3.5000000000000003E-2</v>
      </c>
      <c r="O76" s="439">
        <f>Inputs!K28</f>
        <v>3.3000000000000002E-2</v>
      </c>
      <c r="P76" s="439">
        <f>Inputs!L28</f>
        <v>3.3000000000000002E-2</v>
      </c>
    </row>
    <row r="77" spans="1:16" ht="17.600000000000001" customHeight="1" outlineLevel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7.600000000000001" customHeight="1" outlineLevel="1">
      <c r="B78" s="1" t="str">
        <f>B51</f>
        <v>R&amp;D</v>
      </c>
      <c r="C78" s="1"/>
      <c r="D78" s="1"/>
      <c r="E78" s="1"/>
      <c r="F78" s="438">
        <f>F51</f>
        <v>3924</v>
      </c>
      <c r="G78" s="438">
        <f>G51</f>
        <v>5268</v>
      </c>
      <c r="H78" s="438">
        <f>H51</f>
        <v>7339</v>
      </c>
      <c r="I78" s="438">
        <f>I51</f>
        <v>8675</v>
      </c>
      <c r="J78" s="438">
        <f>J51</f>
        <v>12914</v>
      </c>
      <c r="K78" s="438">
        <f t="shared" ref="K78:P78" si="45">K72*K79</f>
        <v>24894.341999999997</v>
      </c>
      <c r="L78" s="438">
        <f t="shared" si="45"/>
        <v>29787.810425999996</v>
      </c>
      <c r="M78" s="438">
        <f t="shared" si="45"/>
        <v>32859.663011999997</v>
      </c>
      <c r="N78" s="438">
        <f t="shared" si="45"/>
        <v>33009.060047040002</v>
      </c>
      <c r="O78" s="438">
        <f t="shared" si="45"/>
        <v>33604.935762182409</v>
      </c>
      <c r="P78" s="438">
        <f t="shared" si="45"/>
        <v>35251.743697676357</v>
      </c>
    </row>
    <row r="79" spans="1:16" ht="17.600000000000001" customHeight="1" outlineLevel="1">
      <c r="B79" s="1" t="s">
        <v>280</v>
      </c>
      <c r="C79" s="1"/>
      <c r="D79" s="1"/>
      <c r="E79" s="1"/>
      <c r="F79" s="439">
        <f>F78/F72</f>
        <v>0.2353223388305847</v>
      </c>
      <c r="G79" s="439">
        <f>G78/G72</f>
        <v>0.19573456193802483</v>
      </c>
      <c r="H79" s="439">
        <f>H78/H72</f>
        <v>0.27207681471046191</v>
      </c>
      <c r="I79" s="439">
        <f>I78/I72</f>
        <v>0.14239519385443683</v>
      </c>
      <c r="J79" s="439">
        <f>J78/J72</f>
        <v>9.8960129351632606E-2</v>
      </c>
      <c r="K79" s="439">
        <f>Inputs!G34</f>
        <v>0.12</v>
      </c>
      <c r="L79" s="439">
        <f>Inputs!H34</f>
        <v>0.108</v>
      </c>
      <c r="M79" s="439">
        <f>Inputs!I34</f>
        <v>0.1</v>
      </c>
      <c r="N79" s="439">
        <f>Inputs!J34</f>
        <v>0.09</v>
      </c>
      <c r="O79" s="439">
        <f>Inputs!K34</f>
        <v>8.5000000000000006E-2</v>
      </c>
      <c r="P79" s="439">
        <f>Inputs!L34</f>
        <v>8.5000000000000006E-2</v>
      </c>
    </row>
    <row r="80" spans="1:16" ht="17.600000000000001" customHeight="1" outlineLevel="1"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</row>
    <row r="81" spans="1:16" ht="17.600000000000001" customHeight="1">
      <c r="B81" s="91"/>
      <c r="C81" s="254"/>
      <c r="D81" s="361"/>
      <c r="E81" s="8"/>
      <c r="F81" s="363"/>
      <c r="G81" s="363"/>
      <c r="H81" s="363"/>
      <c r="I81" s="363"/>
      <c r="J81" s="363"/>
      <c r="K81" s="363"/>
      <c r="L81" s="363"/>
      <c r="M81" s="363"/>
      <c r="N81" s="363"/>
      <c r="O81" s="1"/>
      <c r="P81" s="1"/>
    </row>
    <row r="82" spans="1:16" ht="17.600000000000001" customHeight="1">
      <c r="A82" s="161" t="s">
        <v>132</v>
      </c>
      <c r="B82" s="21" t="s">
        <v>281</v>
      </c>
      <c r="C82" s="22"/>
      <c r="D82" s="23"/>
      <c r="E82" s="23"/>
      <c r="F82" s="24"/>
      <c r="G82" s="24"/>
      <c r="H82" s="24"/>
      <c r="I82" s="24"/>
      <c r="J82" s="24"/>
      <c r="K82" s="24"/>
      <c r="L82" s="24"/>
      <c r="M82" s="24"/>
      <c r="N82" s="378"/>
      <c r="O82" s="378"/>
      <c r="P82" s="378"/>
    </row>
    <row r="83" spans="1:16" ht="17.600000000000001" customHeight="1" outlineLevel="1">
      <c r="B83" s="25"/>
      <c r="C83" s="26"/>
      <c r="D83" s="27"/>
      <c r="E83" s="27"/>
      <c r="F83" s="28"/>
      <c r="G83" s="28"/>
      <c r="H83" s="28"/>
      <c r="I83" s="28"/>
      <c r="J83" s="28"/>
      <c r="K83" s="28"/>
      <c r="L83" s="28"/>
      <c r="M83" s="28"/>
      <c r="N83" s="230"/>
      <c r="O83" s="1"/>
      <c r="P83" s="1"/>
    </row>
    <row r="84" spans="1:16" ht="17.600000000000001" customHeight="1" outlineLevel="1" thickBot="1">
      <c r="B84" s="29" t="s">
        <v>6</v>
      </c>
      <c r="C84" s="26"/>
      <c r="D84" s="30"/>
      <c r="E84" s="30"/>
      <c r="F84" s="398">
        <f>F$5</f>
        <v>44227</v>
      </c>
      <c r="G84" s="398">
        <f t="shared" ref="G84:P84" si="46">G$5</f>
        <v>44591</v>
      </c>
      <c r="H84" s="398">
        <f t="shared" si="46"/>
        <v>44955</v>
      </c>
      <c r="I84" s="398">
        <f t="shared" si="46"/>
        <v>45319</v>
      </c>
      <c r="J84" s="398">
        <f t="shared" si="46"/>
        <v>45683</v>
      </c>
      <c r="K84" s="398" t="str">
        <f t="shared" si="46"/>
        <v>2026F</v>
      </c>
      <c r="L84" s="398" t="str">
        <f t="shared" si="46"/>
        <v>2027F</v>
      </c>
      <c r="M84" s="398" t="str">
        <f t="shared" si="46"/>
        <v>2028F</v>
      </c>
      <c r="N84" s="398" t="str">
        <f t="shared" si="46"/>
        <v>2029F</v>
      </c>
      <c r="O84" s="398" t="str">
        <f t="shared" si="46"/>
        <v>2030F</v>
      </c>
      <c r="P84" s="398" t="str">
        <f t="shared" si="46"/>
        <v>Term</v>
      </c>
    </row>
    <row r="85" spans="1:16" ht="17.600000000000001" customHeight="1" outlineLevel="1">
      <c r="B85" s="29" t="str">
        <f>$B$6</f>
        <v>Model Running: Base Case Drivers</v>
      </c>
      <c r="C85" s="26"/>
      <c r="D85" s="30"/>
      <c r="E85" s="30"/>
      <c r="F85" s="30"/>
      <c r="G85" s="30"/>
      <c r="H85" s="30"/>
      <c r="I85" s="63"/>
      <c r="J85" s="63"/>
      <c r="K85" s="63"/>
      <c r="L85" s="63"/>
      <c r="M85" s="63"/>
      <c r="N85" s="63"/>
      <c r="O85" s="1"/>
      <c r="P85" s="1"/>
    </row>
    <row r="86" spans="1:16" ht="17.600000000000001" customHeight="1" outlineLevel="1">
      <c r="B86" s="29"/>
      <c r="C86" s="26"/>
      <c r="D86" s="30"/>
      <c r="E86" s="30"/>
      <c r="F86" s="30"/>
      <c r="G86" s="30"/>
      <c r="H86" s="440"/>
      <c r="I86" s="440"/>
      <c r="J86" s="440"/>
      <c r="K86" s="440"/>
      <c r="L86" s="440"/>
      <c r="M86" s="440"/>
      <c r="N86" s="230"/>
      <c r="O86" s="1"/>
      <c r="P86" s="1"/>
    </row>
    <row r="87" spans="1:16" ht="17.600000000000001" customHeight="1" outlineLevel="1">
      <c r="B87" s="29" t="s">
        <v>298</v>
      </c>
      <c r="C87" s="26"/>
      <c r="D87" s="30"/>
      <c r="E87" s="30"/>
      <c r="F87" s="441">
        <f>F88/F46</f>
        <v>6.7646176911544231E-2</v>
      </c>
      <c r="G87" s="441">
        <f>G88/G46</f>
        <v>3.6263654603552055E-2</v>
      </c>
      <c r="H87" s="442">
        <f>H88/H46</f>
        <v>6.7954326388373995E-2</v>
      </c>
      <c r="I87" s="442">
        <f>I88/I46</f>
        <v>1.7547027346442992E-2</v>
      </c>
      <c r="J87" s="442">
        <f>J88/J46</f>
        <v>2.4797504923484832E-2</v>
      </c>
      <c r="K87" s="442">
        <f>Inputs!G40</f>
        <v>2.7E-2</v>
      </c>
      <c r="L87" s="442">
        <f>Inputs!H40</f>
        <v>2.8000000000000001E-2</v>
      </c>
      <c r="M87" s="442">
        <f>Inputs!I40</f>
        <v>2.8000000000000001E-2</v>
      </c>
      <c r="N87" s="442">
        <f>Inputs!J40</f>
        <v>2.7E-2</v>
      </c>
      <c r="O87" s="442">
        <f>Inputs!K40</f>
        <v>2.5999999999999999E-2</v>
      </c>
      <c r="P87" s="442">
        <f>Inputs!L40</f>
        <v>2.5000000000000001E-2</v>
      </c>
    </row>
    <row r="88" spans="1:16" ht="17.600000000000001" customHeight="1" outlineLevel="1">
      <c r="B88" s="443" t="s">
        <v>282</v>
      </c>
      <c r="C88" s="26"/>
      <c r="D88" s="30"/>
      <c r="E88" s="30"/>
      <c r="F88" s="444">
        <f>-'Cashflow Statement'!C27</f>
        <v>1128</v>
      </c>
      <c r="G88" s="445">
        <f>-'Cashflow Statement'!D27</f>
        <v>976</v>
      </c>
      <c r="H88" s="445">
        <f>-'Cashflow Statement'!E27</f>
        <v>1833</v>
      </c>
      <c r="I88" s="445">
        <f>-'Cashflow Statement'!F27</f>
        <v>1069</v>
      </c>
      <c r="J88" s="445">
        <f>-'Cashflow Statement'!G27</f>
        <v>3236</v>
      </c>
      <c r="K88" s="445">
        <f t="shared" ref="K88:P88" si="47">K46*K87</f>
        <v>5601.2269499999993</v>
      </c>
      <c r="L88" s="445">
        <f t="shared" si="47"/>
        <v>7722.7656659999993</v>
      </c>
      <c r="M88" s="445">
        <f t="shared" si="47"/>
        <v>9200.7056433599992</v>
      </c>
      <c r="N88" s="445">
        <f t="shared" si="47"/>
        <v>9902.7180141120007</v>
      </c>
      <c r="O88" s="445">
        <f t="shared" si="47"/>
        <v>10279.156821373441</v>
      </c>
      <c r="P88" s="445">
        <f t="shared" si="47"/>
        <v>10368.159911081282</v>
      </c>
    </row>
    <row r="89" spans="1:16" ht="17.600000000000001" customHeight="1" outlineLevel="1">
      <c r="B89" s="446"/>
      <c r="C89" s="26"/>
      <c r="D89" s="30"/>
      <c r="E89" s="30"/>
      <c r="F89" s="396"/>
      <c r="G89" s="396"/>
      <c r="H89" s="396"/>
      <c r="I89" s="233"/>
      <c r="J89" s="233"/>
      <c r="K89" s="233"/>
      <c r="L89" s="233"/>
      <c r="M89" s="233"/>
      <c r="N89" s="230"/>
      <c r="O89" s="1"/>
      <c r="P89" s="1"/>
    </row>
    <row r="90" spans="1:16" ht="17.600000000000001" customHeight="1" outlineLevel="1">
      <c r="B90" s="29"/>
      <c r="C90" s="26"/>
      <c r="D90" s="30"/>
      <c r="E90" s="30"/>
      <c r="F90" s="30"/>
      <c r="G90" s="30"/>
      <c r="H90" s="30"/>
      <c r="I90" s="63"/>
      <c r="J90" s="63"/>
      <c r="K90" s="63"/>
      <c r="L90" s="63"/>
      <c r="M90" s="63"/>
      <c r="N90" s="230"/>
      <c r="O90" s="1"/>
      <c r="P90" s="1"/>
    </row>
    <row r="91" spans="1:16" ht="17.600000000000001" customHeight="1" outlineLevel="1">
      <c r="B91" s="447" t="s">
        <v>357</v>
      </c>
      <c r="C91" s="230"/>
      <c r="D91" s="448" t="s">
        <v>283</v>
      </c>
      <c r="E91" s="30"/>
      <c r="F91" s="1"/>
      <c r="G91" s="1"/>
      <c r="H91" s="30"/>
      <c r="I91" s="30"/>
      <c r="J91" s="30"/>
      <c r="K91" s="449" t="s">
        <v>284</v>
      </c>
      <c r="L91" s="450"/>
      <c r="M91" s="450"/>
      <c r="N91" s="450"/>
      <c r="O91" s="451"/>
      <c r="P91" s="1"/>
    </row>
    <row r="92" spans="1:16" ht="17.600000000000001" customHeight="1" outlineLevel="1">
      <c r="B92" s="452" t="s">
        <v>285</v>
      </c>
      <c r="C92" s="453"/>
      <c r="D92" s="454">
        <f>Inputs!$L$101</f>
        <v>6</v>
      </c>
      <c r="E92" s="30"/>
      <c r="F92" s="1"/>
      <c r="G92" s="1"/>
      <c r="H92" s="455"/>
      <c r="I92" s="30"/>
      <c r="J92" s="30"/>
      <c r="K92" s="456">
        <v>1</v>
      </c>
      <c r="L92" s="456">
        <f>K92+1</f>
        <v>2</v>
      </c>
      <c r="M92" s="456">
        <f>L92+1</f>
        <v>3</v>
      </c>
      <c r="N92" s="456">
        <f>M92+1</f>
        <v>4</v>
      </c>
      <c r="O92" s="456">
        <f>N92+1</f>
        <v>5</v>
      </c>
      <c r="P92" s="1"/>
    </row>
    <row r="93" spans="1:16" ht="17.600000000000001" customHeight="1" outlineLevel="1">
      <c r="B93" s="457" t="str">
        <f>CONCATENATE("PP&amp;E at End of ",2025)</f>
        <v>PP&amp;E at End of 2025</v>
      </c>
      <c r="C93" s="458"/>
      <c r="D93" s="459">
        <f>'Balance Sheet'!G24</f>
        <v>8076</v>
      </c>
      <c r="E93" s="30"/>
      <c r="F93" s="1"/>
      <c r="G93" s="1"/>
      <c r="H93" s="455"/>
      <c r="I93" s="30"/>
      <c r="J93" s="460"/>
      <c r="K93" s="461">
        <f>MIN($D92-SUM($J93:J93),1)</f>
        <v>1</v>
      </c>
      <c r="L93" s="461">
        <f>MIN($D92-SUM($J93:K93),1)</f>
        <v>1</v>
      </c>
      <c r="M93" s="461">
        <f>MIN($D92-SUM($J93:L93),1)</f>
        <v>1</v>
      </c>
      <c r="N93" s="461">
        <f>MIN($D92-SUM($J93:M93),1)</f>
        <v>1</v>
      </c>
      <c r="O93" s="462">
        <f>MIN($D92-SUM($J93:N93),1)</f>
        <v>1</v>
      </c>
      <c r="P93" s="1"/>
    </row>
    <row r="94" spans="1:16" ht="17.600000000000001" customHeight="1" outlineLevel="1">
      <c r="B94" s="9"/>
      <c r="C94" s="463"/>
      <c r="D94" s="464"/>
      <c r="E94" s="30"/>
      <c r="F94" s="1"/>
      <c r="G94" s="1"/>
      <c r="H94" s="30"/>
      <c r="I94" s="30"/>
      <c r="J94" s="30"/>
      <c r="K94" s="465"/>
      <c r="L94" s="465"/>
      <c r="M94" s="465"/>
      <c r="N94" s="465"/>
      <c r="O94" s="465"/>
      <c r="P94" s="1"/>
    </row>
    <row r="95" spans="1:16" ht="17.600000000000001" customHeight="1" outlineLevel="1">
      <c r="B95" s="466"/>
      <c r="C95" s="391"/>
      <c r="D95" s="393"/>
      <c r="E95" s="393"/>
      <c r="F95" s="393"/>
      <c r="G95" s="393"/>
      <c r="H95" s="393"/>
      <c r="I95" s="393"/>
      <c r="J95" s="393"/>
      <c r="K95" s="467"/>
      <c r="L95" s="467"/>
      <c r="M95" s="467"/>
      <c r="N95" s="467"/>
      <c r="O95" s="467"/>
      <c r="P95" s="1"/>
    </row>
    <row r="96" spans="1:16" ht="17.600000000000001" customHeight="1" outlineLevel="1">
      <c r="B96" s="29"/>
      <c r="C96" s="26"/>
      <c r="D96" s="30"/>
      <c r="E96" s="30"/>
      <c r="F96" s="1"/>
      <c r="G96" s="1"/>
      <c r="H96" s="30"/>
      <c r="I96" s="30"/>
      <c r="J96" s="30"/>
      <c r="K96" s="63"/>
      <c r="L96" s="63"/>
      <c r="M96" s="63"/>
      <c r="N96" s="63"/>
      <c r="O96" s="63"/>
      <c r="P96" s="1"/>
    </row>
    <row r="97" spans="2:16" ht="17.600000000000001" customHeight="1" outlineLevel="1">
      <c r="B97" s="447" t="s">
        <v>467</v>
      </c>
      <c r="C97" s="230"/>
      <c r="D97" s="448" t="s">
        <v>283</v>
      </c>
      <c r="E97" s="30"/>
      <c r="F97" s="1"/>
      <c r="G97" s="1"/>
      <c r="H97" s="30"/>
      <c r="I97" s="30"/>
      <c r="J97" s="30"/>
      <c r="K97" s="449" t="s">
        <v>284</v>
      </c>
      <c r="L97" s="450"/>
      <c r="M97" s="450"/>
      <c r="N97" s="450"/>
      <c r="O97" s="451"/>
      <c r="P97" s="1"/>
    </row>
    <row r="98" spans="2:16" ht="17.600000000000001" customHeight="1" outlineLevel="1">
      <c r="B98" s="452" t="s">
        <v>286</v>
      </c>
      <c r="C98" s="453"/>
      <c r="D98" s="454">
        <f>Inputs!$L$102</f>
        <v>6</v>
      </c>
      <c r="E98" s="30"/>
      <c r="F98" s="1"/>
      <c r="G98" s="1"/>
      <c r="H98" s="30"/>
      <c r="I98" s="30"/>
      <c r="J98" s="30"/>
      <c r="K98" s="468">
        <v>1</v>
      </c>
      <c r="L98" s="468">
        <f>K98+1</f>
        <v>2</v>
      </c>
      <c r="M98" s="468">
        <f>L98+1</f>
        <v>3</v>
      </c>
      <c r="N98" s="468">
        <f>M98+1</f>
        <v>4</v>
      </c>
      <c r="O98" s="468">
        <f>N98+1</f>
        <v>5</v>
      </c>
      <c r="P98" s="1"/>
    </row>
    <row r="99" spans="2:16" ht="17.600000000000001" customHeight="1" outlineLevel="1">
      <c r="B99" s="457" t="s">
        <v>287</v>
      </c>
      <c r="C99" s="458"/>
      <c r="D99" s="469">
        <f>Inputs!L100</f>
        <v>0.5</v>
      </c>
      <c r="E99" s="30"/>
      <c r="F99" s="1"/>
      <c r="G99" s="1"/>
      <c r="H99" s="30"/>
      <c r="I99" s="30"/>
      <c r="J99" s="30"/>
      <c r="K99" s="470">
        <f>IF(J99="",$D$99,MIN($D98-SUM($J99:J99),1))</f>
        <v>0.5</v>
      </c>
      <c r="L99" s="471">
        <f>IF(K99="",$D$99,MIN($D98-SUM($J99:K99),1))</f>
        <v>1</v>
      </c>
      <c r="M99" s="471">
        <f>IF(L99="",$D$99,MIN($D98-SUM($J99:L99),1))</f>
        <v>1</v>
      </c>
      <c r="N99" s="471">
        <f>IF(M99="",$D$99,MIN($D98-SUM($J99:M99),1))</f>
        <v>1</v>
      </c>
      <c r="O99" s="472">
        <f>IF(N99="",$D$99,MIN($D98-SUM($J99:N99),1))</f>
        <v>1</v>
      </c>
      <c r="P99" s="1"/>
    </row>
    <row r="100" spans="2:16" ht="17.600000000000001" customHeight="1" outlineLevel="1">
      <c r="B100" s="9"/>
      <c r="C100" s="230"/>
      <c r="D100" s="473"/>
      <c r="E100" s="30"/>
      <c r="F100" s="1"/>
      <c r="G100" s="1"/>
      <c r="H100" s="30"/>
      <c r="I100" s="30"/>
      <c r="J100" s="30"/>
      <c r="K100" s="465"/>
      <c r="L100" s="465"/>
      <c r="M100" s="465"/>
      <c r="N100" s="465"/>
      <c r="O100" s="465"/>
      <c r="P100" s="1"/>
    </row>
    <row r="101" spans="2:16" ht="17.600000000000001" customHeight="1" outlineLevel="1">
      <c r="B101" s="29"/>
      <c r="C101" s="26"/>
      <c r="D101" s="30"/>
      <c r="E101" s="30"/>
      <c r="F101" s="1"/>
      <c r="G101" s="1"/>
      <c r="H101" s="30"/>
      <c r="I101" s="30"/>
      <c r="J101" s="30"/>
      <c r="K101" s="449" t="s">
        <v>284</v>
      </c>
      <c r="L101" s="450"/>
      <c r="M101" s="450"/>
      <c r="N101" s="450"/>
      <c r="O101" s="451"/>
      <c r="P101" s="1"/>
    </row>
    <row r="102" spans="2:16" ht="17.600000000000001" customHeight="1" outlineLevel="1">
      <c r="B102" s="230"/>
      <c r="C102" s="230"/>
      <c r="D102" s="474"/>
      <c r="E102" s="230"/>
      <c r="F102" s="1"/>
      <c r="G102" s="1"/>
      <c r="H102" s="474" t="s">
        <v>288</v>
      </c>
      <c r="I102" s="474" t="s">
        <v>289</v>
      </c>
      <c r="J102" s="30"/>
      <c r="K102" s="475" t="str">
        <f>K84</f>
        <v>2026F</v>
      </c>
      <c r="L102" s="475" t="str">
        <f t="shared" ref="L102:O102" si="48">L84</f>
        <v>2027F</v>
      </c>
      <c r="M102" s="475" t="str">
        <f t="shared" si="48"/>
        <v>2028F</v>
      </c>
      <c r="N102" s="475" t="str">
        <f t="shared" si="48"/>
        <v>2029F</v>
      </c>
      <c r="O102" s="475" t="str">
        <f t="shared" si="48"/>
        <v>2030F</v>
      </c>
      <c r="P102" s="1"/>
    </row>
    <row r="103" spans="2:16" ht="17.600000000000001" customHeight="1" outlineLevel="1">
      <c r="B103" s="29"/>
      <c r="C103" s="230"/>
      <c r="D103" s="474"/>
      <c r="E103" s="230"/>
      <c r="F103" s="1"/>
      <c r="G103" s="1"/>
      <c r="H103" s="476" t="str">
        <f>K84</f>
        <v>2026F</v>
      </c>
      <c r="I103" s="477">
        <f>$D$98</f>
        <v>6</v>
      </c>
      <c r="J103" s="478"/>
      <c r="K103" s="479">
        <f>K99</f>
        <v>0.5</v>
      </c>
      <c r="L103" s="479">
        <f>L99</f>
        <v>1</v>
      </c>
      <c r="M103" s="479">
        <f>M99</f>
        <v>1</v>
      </c>
      <c r="N103" s="479">
        <f>N99</f>
        <v>1</v>
      </c>
      <c r="O103" s="480">
        <f>O99</f>
        <v>1</v>
      </c>
      <c r="P103" s="1"/>
    </row>
    <row r="104" spans="2:16" ht="17.600000000000001" customHeight="1" outlineLevel="1">
      <c r="B104" s="29"/>
      <c r="C104" s="230"/>
      <c r="D104" s="474"/>
      <c r="E104" s="230"/>
      <c r="F104" s="1"/>
      <c r="G104" s="1"/>
      <c r="H104" s="481" t="str">
        <f>L84</f>
        <v>2027F</v>
      </c>
      <c r="I104" s="482">
        <f t="shared" ref="I104:I107" si="49">$D$98</f>
        <v>6</v>
      </c>
      <c r="J104" s="483"/>
      <c r="K104" s="484">
        <f t="shared" ref="K104:O107" si="50">J103</f>
        <v>0</v>
      </c>
      <c r="L104" s="484">
        <f t="shared" si="50"/>
        <v>0.5</v>
      </c>
      <c r="M104" s="484">
        <f t="shared" si="50"/>
        <v>1</v>
      </c>
      <c r="N104" s="484">
        <f t="shared" si="50"/>
        <v>1</v>
      </c>
      <c r="O104" s="485">
        <f t="shared" si="50"/>
        <v>1</v>
      </c>
      <c r="P104" s="1"/>
    </row>
    <row r="105" spans="2:16" ht="17.600000000000001" customHeight="1" outlineLevel="1">
      <c r="B105" s="29"/>
      <c r="C105" s="230"/>
      <c r="D105" s="474"/>
      <c r="E105" s="230"/>
      <c r="F105" s="1"/>
      <c r="G105" s="1"/>
      <c r="H105" s="481" t="str">
        <f>M84</f>
        <v>2028F</v>
      </c>
      <c r="I105" s="482">
        <f t="shared" si="49"/>
        <v>6</v>
      </c>
      <c r="J105" s="483"/>
      <c r="K105" s="484">
        <f t="shared" si="50"/>
        <v>0</v>
      </c>
      <c r="L105" s="484">
        <f t="shared" si="50"/>
        <v>0</v>
      </c>
      <c r="M105" s="484">
        <f t="shared" si="50"/>
        <v>0.5</v>
      </c>
      <c r="N105" s="484">
        <f t="shared" si="50"/>
        <v>1</v>
      </c>
      <c r="O105" s="485">
        <f t="shared" si="50"/>
        <v>1</v>
      </c>
      <c r="P105" s="1"/>
    </row>
    <row r="106" spans="2:16" ht="17.600000000000001" customHeight="1" outlineLevel="1">
      <c r="B106" s="29"/>
      <c r="C106" s="230"/>
      <c r="D106" s="474"/>
      <c r="E106" s="230"/>
      <c r="F106" s="1"/>
      <c r="G106" s="1"/>
      <c r="H106" s="481" t="str">
        <f>N84</f>
        <v>2029F</v>
      </c>
      <c r="I106" s="482">
        <f t="shared" si="49"/>
        <v>6</v>
      </c>
      <c r="J106" s="483"/>
      <c r="K106" s="484">
        <f t="shared" si="50"/>
        <v>0</v>
      </c>
      <c r="L106" s="484">
        <f t="shared" si="50"/>
        <v>0</v>
      </c>
      <c r="M106" s="484">
        <f t="shared" si="50"/>
        <v>0</v>
      </c>
      <c r="N106" s="484">
        <f t="shared" si="50"/>
        <v>0.5</v>
      </c>
      <c r="O106" s="485">
        <f t="shared" si="50"/>
        <v>1</v>
      </c>
      <c r="P106" s="1"/>
    </row>
    <row r="107" spans="2:16" ht="17.600000000000001" customHeight="1" outlineLevel="1">
      <c r="B107" s="29"/>
      <c r="C107" s="230"/>
      <c r="D107" s="474"/>
      <c r="E107" s="230"/>
      <c r="F107" s="1"/>
      <c r="G107" s="1"/>
      <c r="H107" s="486" t="str">
        <f>O84</f>
        <v>2030F</v>
      </c>
      <c r="I107" s="487">
        <f t="shared" si="49"/>
        <v>6</v>
      </c>
      <c r="J107" s="488"/>
      <c r="K107" s="489">
        <f t="shared" si="50"/>
        <v>0</v>
      </c>
      <c r="L107" s="489">
        <f t="shared" si="50"/>
        <v>0</v>
      </c>
      <c r="M107" s="489">
        <f t="shared" si="50"/>
        <v>0</v>
      </c>
      <c r="N107" s="489">
        <f t="shared" si="50"/>
        <v>0</v>
      </c>
      <c r="O107" s="490">
        <f t="shared" si="50"/>
        <v>0.5</v>
      </c>
      <c r="P107" s="1"/>
    </row>
    <row r="108" spans="2:16" ht="17.600000000000001" customHeight="1" outlineLevel="1">
      <c r="B108" s="29"/>
      <c r="C108" s="26"/>
      <c r="D108" s="474"/>
      <c r="E108" s="30"/>
      <c r="F108" s="1"/>
      <c r="G108" s="1"/>
      <c r="H108" s="30"/>
      <c r="I108" s="30"/>
      <c r="J108" s="30"/>
      <c r="K108" s="63"/>
      <c r="L108" s="63"/>
      <c r="M108" s="63"/>
      <c r="N108" s="63"/>
      <c r="O108" s="63"/>
      <c r="P108" s="1"/>
    </row>
    <row r="109" spans="2:16" ht="17.600000000000001" customHeight="1" outlineLevel="1">
      <c r="B109" s="29"/>
      <c r="C109" s="26"/>
      <c r="D109" s="30"/>
      <c r="E109" s="30"/>
      <c r="F109" s="1"/>
      <c r="G109" s="1"/>
      <c r="H109" s="30"/>
      <c r="I109" s="30"/>
      <c r="J109" s="30"/>
      <c r="K109" s="449" t="s">
        <v>290</v>
      </c>
      <c r="L109" s="450"/>
      <c r="M109" s="450"/>
      <c r="N109" s="450"/>
      <c r="O109" s="451"/>
      <c r="P109" s="1"/>
    </row>
    <row r="110" spans="2:16" ht="17.600000000000001" customHeight="1" outlineLevel="1">
      <c r="B110" s="230"/>
      <c r="C110" s="230"/>
      <c r="D110" s="230"/>
      <c r="E110" s="30"/>
      <c r="F110" s="1"/>
      <c r="G110" s="1"/>
      <c r="H110" s="474" t="s">
        <v>288</v>
      </c>
      <c r="I110" s="474" t="s">
        <v>291</v>
      </c>
      <c r="J110" s="474" t="s">
        <v>292</v>
      </c>
      <c r="K110" s="475" t="str">
        <f>K102</f>
        <v>2026F</v>
      </c>
      <c r="L110" s="475" t="str">
        <f t="shared" ref="L110:O110" si="51">L102</f>
        <v>2027F</v>
      </c>
      <c r="M110" s="475" t="str">
        <f t="shared" si="51"/>
        <v>2028F</v>
      </c>
      <c r="N110" s="475" t="str">
        <f t="shared" si="51"/>
        <v>2029F</v>
      </c>
      <c r="O110" s="475" t="str">
        <f t="shared" si="51"/>
        <v>2030F</v>
      </c>
      <c r="P110" s="1"/>
    </row>
    <row r="111" spans="2:16" ht="17.600000000000001" customHeight="1" outlineLevel="1">
      <c r="B111" s="29"/>
      <c r="C111" s="230"/>
      <c r="D111" s="230"/>
      <c r="E111" s="30"/>
      <c r="F111" s="1"/>
      <c r="G111" s="1"/>
      <c r="H111" s="476" t="str">
        <f>H103</f>
        <v>2026F</v>
      </c>
      <c r="I111" s="491">
        <f>K88</f>
        <v>5601.2269499999993</v>
      </c>
      <c r="J111" s="492">
        <f>I111/I103</f>
        <v>933.53782499999988</v>
      </c>
      <c r="K111" s="493">
        <f t="shared" ref="K111:O115" si="52">$J111*K103</f>
        <v>466.76891249999994</v>
      </c>
      <c r="L111" s="493">
        <f t="shared" si="52"/>
        <v>933.53782499999988</v>
      </c>
      <c r="M111" s="493">
        <f t="shared" si="52"/>
        <v>933.53782499999988</v>
      </c>
      <c r="N111" s="493">
        <f t="shared" si="52"/>
        <v>933.53782499999988</v>
      </c>
      <c r="O111" s="494">
        <f t="shared" si="52"/>
        <v>933.53782499999988</v>
      </c>
      <c r="P111" s="1"/>
    </row>
    <row r="112" spans="2:16" ht="17.600000000000001" customHeight="1" outlineLevel="1">
      <c r="B112" s="29"/>
      <c r="C112" s="230"/>
      <c r="D112" s="230"/>
      <c r="E112" s="30"/>
      <c r="F112" s="1"/>
      <c r="G112" s="1"/>
      <c r="H112" s="481" t="str">
        <f>H104</f>
        <v>2027F</v>
      </c>
      <c r="I112" s="495">
        <f>L88</f>
        <v>7722.7656659999993</v>
      </c>
      <c r="J112" s="496">
        <f>I112/I104</f>
        <v>1287.1276109999999</v>
      </c>
      <c r="K112" s="424">
        <f t="shared" si="52"/>
        <v>0</v>
      </c>
      <c r="L112" s="424">
        <f t="shared" si="52"/>
        <v>643.56380549999994</v>
      </c>
      <c r="M112" s="424">
        <f t="shared" si="52"/>
        <v>1287.1276109999999</v>
      </c>
      <c r="N112" s="424">
        <f t="shared" si="52"/>
        <v>1287.1276109999999</v>
      </c>
      <c r="O112" s="497">
        <f t="shared" si="52"/>
        <v>1287.1276109999999</v>
      </c>
      <c r="P112" s="1"/>
    </row>
    <row r="113" spans="1:16" ht="17.600000000000001" customHeight="1" outlineLevel="1">
      <c r="B113" s="29"/>
      <c r="C113" s="230"/>
      <c r="D113" s="230"/>
      <c r="E113" s="30"/>
      <c r="F113" s="1"/>
      <c r="G113" s="1"/>
      <c r="H113" s="481" t="str">
        <f>H105</f>
        <v>2028F</v>
      </c>
      <c r="I113" s="495">
        <f>M88</f>
        <v>9200.7056433599992</v>
      </c>
      <c r="J113" s="496">
        <f>I113/I105</f>
        <v>1533.4509405599999</v>
      </c>
      <c r="K113" s="424">
        <f t="shared" si="52"/>
        <v>0</v>
      </c>
      <c r="L113" s="424">
        <f t="shared" si="52"/>
        <v>0</v>
      </c>
      <c r="M113" s="424">
        <f t="shared" si="52"/>
        <v>766.72547027999997</v>
      </c>
      <c r="N113" s="424">
        <f t="shared" si="52"/>
        <v>1533.4509405599999</v>
      </c>
      <c r="O113" s="497">
        <f t="shared" si="52"/>
        <v>1533.4509405599999</v>
      </c>
      <c r="P113" s="1"/>
    </row>
    <row r="114" spans="1:16" ht="17.600000000000001" customHeight="1" outlineLevel="1">
      <c r="B114" s="29"/>
      <c r="C114" s="230"/>
      <c r="D114" s="230"/>
      <c r="E114" s="30"/>
      <c r="F114" s="1"/>
      <c r="G114" s="1"/>
      <c r="H114" s="481" t="str">
        <f>H106</f>
        <v>2029F</v>
      </c>
      <c r="I114" s="495">
        <f>N88</f>
        <v>9902.7180141120007</v>
      </c>
      <c r="J114" s="496">
        <f>I114/I106</f>
        <v>1650.4530023520001</v>
      </c>
      <c r="K114" s="424">
        <f t="shared" si="52"/>
        <v>0</v>
      </c>
      <c r="L114" s="424">
        <f t="shared" si="52"/>
        <v>0</v>
      </c>
      <c r="M114" s="424">
        <f t="shared" si="52"/>
        <v>0</v>
      </c>
      <c r="N114" s="424">
        <f t="shared" si="52"/>
        <v>825.22650117600006</v>
      </c>
      <c r="O114" s="497">
        <f t="shared" si="52"/>
        <v>1650.4530023520001</v>
      </c>
      <c r="P114" s="1"/>
    </row>
    <row r="115" spans="1:16" ht="17.600000000000001" customHeight="1" outlineLevel="1">
      <c r="B115" s="29"/>
      <c r="C115" s="230"/>
      <c r="D115" s="230"/>
      <c r="E115" s="30"/>
      <c r="F115" s="1"/>
      <c r="G115" s="1"/>
      <c r="H115" s="486" t="str">
        <f>H107</f>
        <v>2030F</v>
      </c>
      <c r="I115" s="498">
        <f>O88</f>
        <v>10279.156821373441</v>
      </c>
      <c r="J115" s="499">
        <f>I115/I107</f>
        <v>1713.1928035622402</v>
      </c>
      <c r="K115" s="500">
        <f t="shared" si="52"/>
        <v>0</v>
      </c>
      <c r="L115" s="500">
        <f t="shared" si="52"/>
        <v>0</v>
      </c>
      <c r="M115" s="500">
        <f t="shared" si="52"/>
        <v>0</v>
      </c>
      <c r="N115" s="500">
        <f t="shared" si="52"/>
        <v>0</v>
      </c>
      <c r="O115" s="501">
        <f t="shared" si="52"/>
        <v>856.59640178112011</v>
      </c>
      <c r="P115" s="1"/>
    </row>
    <row r="116" spans="1:16" ht="17.600000000000001" customHeight="1" outlineLevel="1">
      <c r="B116" s="466"/>
      <c r="C116" s="391"/>
      <c r="D116" s="393"/>
      <c r="E116" s="393"/>
      <c r="F116" s="393"/>
      <c r="G116" s="393"/>
      <c r="H116" s="393"/>
      <c r="I116" s="393"/>
      <c r="J116" s="393"/>
      <c r="K116" s="467"/>
      <c r="L116" s="467"/>
      <c r="M116" s="467"/>
      <c r="N116" s="467"/>
      <c r="O116" s="467"/>
      <c r="P116" s="1"/>
    </row>
    <row r="117" spans="1:16" ht="17.600000000000001" customHeight="1" outlineLevel="1">
      <c r="B117" s="29"/>
      <c r="C117" s="26"/>
      <c r="D117" s="30"/>
      <c r="E117" s="30"/>
      <c r="F117" s="1"/>
      <c r="G117" s="1"/>
      <c r="H117" s="30"/>
      <c r="I117" s="30"/>
      <c r="J117" s="30"/>
      <c r="K117" s="63"/>
      <c r="L117" s="63"/>
      <c r="M117" s="63"/>
      <c r="N117" s="63"/>
      <c r="O117" s="63"/>
      <c r="P117" s="1"/>
    </row>
    <row r="118" spans="1:16" ht="17.600000000000001" customHeight="1" outlineLevel="1">
      <c r="B118" s="447" t="s">
        <v>468</v>
      </c>
      <c r="C118" s="26"/>
      <c r="D118" s="30"/>
      <c r="E118" s="30"/>
      <c r="F118" s="1"/>
      <c r="G118" s="1"/>
      <c r="H118" s="30"/>
      <c r="I118" s="30"/>
      <c r="J118" s="30"/>
      <c r="K118" s="63"/>
      <c r="L118" s="63"/>
      <c r="M118" s="63"/>
      <c r="N118" s="63"/>
      <c r="O118" s="63"/>
      <c r="P118" s="1"/>
    </row>
    <row r="119" spans="1:16" ht="17.600000000000001" customHeight="1" outlineLevel="1">
      <c r="B119" s="502" t="s">
        <v>293</v>
      </c>
      <c r="C119" s="26"/>
      <c r="D119" s="30"/>
      <c r="E119" s="30"/>
      <c r="F119" s="1"/>
      <c r="G119" s="1"/>
      <c r="H119" s="363"/>
      <c r="I119" s="363"/>
      <c r="J119" s="363"/>
      <c r="K119" s="233">
        <f>($D$93/$D$92)*K93</f>
        <v>1346</v>
      </c>
      <c r="L119" s="233">
        <f t="shared" ref="L119:O119" si="53">($D$93/$D$92)*L93</f>
        <v>1346</v>
      </c>
      <c r="M119" s="233">
        <f t="shared" si="53"/>
        <v>1346</v>
      </c>
      <c r="N119" s="233">
        <f t="shared" si="53"/>
        <v>1346</v>
      </c>
      <c r="O119" s="233">
        <f t="shared" si="53"/>
        <v>1346</v>
      </c>
      <c r="P119" s="1"/>
    </row>
    <row r="120" spans="1:16" ht="17.600000000000001" customHeight="1" outlineLevel="1">
      <c r="B120" s="502" t="s">
        <v>294</v>
      </c>
      <c r="C120" s="26"/>
      <c r="D120" s="30"/>
      <c r="E120" s="30"/>
      <c r="F120" s="1"/>
      <c r="G120" s="1"/>
      <c r="H120" s="30"/>
      <c r="I120" s="30"/>
      <c r="J120" s="30"/>
      <c r="K120" s="233">
        <f>SUM(K111:K115)</f>
        <v>466.76891249999994</v>
      </c>
      <c r="L120" s="233">
        <f>SUM(L111:L115)</f>
        <v>1577.1016304999998</v>
      </c>
      <c r="M120" s="233">
        <f>SUM(M111:M115)</f>
        <v>2987.3909062799999</v>
      </c>
      <c r="N120" s="233">
        <f>SUM(N111:N115)</f>
        <v>4579.3428777359995</v>
      </c>
      <c r="O120" s="233">
        <f>SUM(O111:O115)</f>
        <v>6261.1657806931198</v>
      </c>
      <c r="P120" s="1"/>
    </row>
    <row r="121" spans="1:16" ht="17.600000000000001" customHeight="1" outlineLevel="1" thickBot="1">
      <c r="B121" s="502" t="s">
        <v>295</v>
      </c>
      <c r="C121" s="26"/>
      <c r="D121" s="30"/>
      <c r="E121" s="30"/>
      <c r="F121" s="1"/>
      <c r="G121" s="1"/>
      <c r="H121" s="30"/>
      <c r="I121" s="30"/>
      <c r="J121" s="30"/>
      <c r="K121" s="503">
        <f>SUM(K119:K120)</f>
        <v>1812.7689124999999</v>
      </c>
      <c r="L121" s="503">
        <f>SUM(L119:L120)</f>
        <v>2923.1016304999998</v>
      </c>
      <c r="M121" s="503">
        <f>SUM(M119:M120)</f>
        <v>4333.3909062799994</v>
      </c>
      <c r="N121" s="503">
        <f>SUM(N119:N120)</f>
        <v>5925.3428777359995</v>
      </c>
      <c r="O121" s="503">
        <f>SUM(O119:O120)</f>
        <v>7607.1657806931198</v>
      </c>
      <c r="P121" s="1"/>
    </row>
    <row r="122" spans="1:16" ht="17.600000000000001" customHeight="1" outlineLevel="1">
      <c r="B122" s="29"/>
      <c r="C122" s="26"/>
      <c r="D122" s="30"/>
      <c r="E122" s="30"/>
      <c r="F122" s="1"/>
      <c r="G122" s="1"/>
      <c r="H122" s="30"/>
      <c r="I122" s="30"/>
      <c r="J122" s="30"/>
      <c r="K122" s="363"/>
      <c r="L122" s="363"/>
      <c r="M122" s="363"/>
      <c r="N122" s="363"/>
      <c r="O122" s="363"/>
      <c r="P122" s="1"/>
    </row>
    <row r="123" spans="1:16" ht="17.600000000000001" customHeight="1" outlineLevel="1">
      <c r="B123" s="29"/>
      <c r="C123" s="26"/>
      <c r="D123" s="30"/>
      <c r="E123" s="30"/>
      <c r="F123" s="1"/>
      <c r="G123" s="1"/>
      <c r="H123" s="30"/>
      <c r="I123" s="30"/>
      <c r="J123" s="30"/>
      <c r="K123" s="363"/>
      <c r="L123" s="363"/>
      <c r="M123" s="363"/>
      <c r="N123" s="363"/>
      <c r="O123" s="363"/>
      <c r="P123" s="1"/>
    </row>
    <row r="124" spans="1:16" ht="17.600000000000001" customHeight="1" outlineLevel="1">
      <c r="B124" s="230"/>
      <c r="C124" s="26"/>
      <c r="D124" s="30"/>
      <c r="E124" s="30"/>
      <c r="F124" s="1"/>
      <c r="G124" s="1"/>
      <c r="H124" s="30"/>
      <c r="I124" s="30"/>
      <c r="J124" s="30"/>
      <c r="K124" s="63"/>
      <c r="L124" s="63"/>
      <c r="M124" s="63"/>
      <c r="N124" s="63"/>
      <c r="O124" s="304" t="s">
        <v>296</v>
      </c>
      <c r="P124" s="1"/>
    </row>
    <row r="125" spans="1:16" ht="17.600000000000001" customHeight="1" outlineLevel="1">
      <c r="B125" s="230"/>
      <c r="C125" s="26"/>
      <c r="D125" s="30"/>
      <c r="E125" s="30"/>
      <c r="F125" s="1"/>
      <c r="G125" s="1"/>
      <c r="H125" s="30"/>
      <c r="I125" s="30"/>
      <c r="J125" s="30"/>
      <c r="K125" s="63"/>
      <c r="L125" s="63"/>
      <c r="M125" s="63"/>
      <c r="N125" s="63"/>
      <c r="O125" s="504" t="s">
        <v>297</v>
      </c>
      <c r="P125" s="1"/>
    </row>
    <row r="126" spans="1:16" ht="17.600000000000001" customHeight="1" outlineLevel="1">
      <c r="B126" s="466"/>
      <c r="C126" s="391"/>
      <c r="D126" s="393"/>
      <c r="E126" s="393"/>
      <c r="F126" s="393"/>
      <c r="G126" s="393"/>
      <c r="H126" s="393"/>
      <c r="I126" s="467"/>
      <c r="J126" s="467"/>
      <c r="K126" s="467"/>
      <c r="L126" s="467"/>
      <c r="M126" s="467"/>
      <c r="N126" s="467"/>
      <c r="O126" s="467"/>
      <c r="P126" s="467"/>
    </row>
    <row r="127" spans="1:16" ht="17.600000000000001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7.600000000000001" customHeight="1">
      <c r="A128" s="161" t="s">
        <v>132</v>
      </c>
      <c r="B128" s="21" t="s">
        <v>318</v>
      </c>
      <c r="C128" s="22"/>
      <c r="D128" s="23"/>
      <c r="E128" s="23"/>
      <c r="F128" s="24"/>
      <c r="G128" s="24"/>
      <c r="H128" s="24"/>
      <c r="I128" s="24"/>
      <c r="J128" s="24"/>
      <c r="K128" s="24"/>
      <c r="L128" s="24"/>
      <c r="M128" s="24"/>
      <c r="N128" s="378"/>
      <c r="O128" s="505"/>
      <c r="P128" s="505"/>
    </row>
    <row r="129" spans="2:16" ht="17.600000000000001" customHeight="1" outlineLevel="1">
      <c r="B129" s="25"/>
      <c r="C129" s="26"/>
      <c r="D129" s="27"/>
      <c r="E129" s="27"/>
      <c r="F129" s="28"/>
      <c r="G129" s="28"/>
      <c r="H129" s="28"/>
      <c r="I129" s="28"/>
      <c r="J129" s="28"/>
      <c r="K129" s="28"/>
      <c r="L129" s="28"/>
      <c r="M129" s="28"/>
      <c r="N129" s="230"/>
      <c r="O129" s="1"/>
      <c r="P129" s="1"/>
    </row>
    <row r="130" spans="2:16" ht="17.600000000000001" customHeight="1" outlineLevel="1" thickBot="1">
      <c r="B130" s="29" t="s">
        <v>6</v>
      </c>
      <c r="C130" s="26"/>
      <c r="D130" s="30"/>
      <c r="E130" s="30"/>
      <c r="F130" s="28"/>
      <c r="G130" s="28"/>
      <c r="H130" s="28"/>
      <c r="I130" s="28"/>
      <c r="J130" s="398">
        <f t="shared" ref="J130:O130" si="54">J$5</f>
        <v>45683</v>
      </c>
      <c r="K130" s="398" t="str">
        <f t="shared" si="54"/>
        <v>2026F</v>
      </c>
      <c r="L130" s="398" t="str">
        <f t="shared" si="54"/>
        <v>2027F</v>
      </c>
      <c r="M130" s="398" t="str">
        <f t="shared" si="54"/>
        <v>2028F</v>
      </c>
      <c r="N130" s="398" t="str">
        <f t="shared" si="54"/>
        <v>2029F</v>
      </c>
      <c r="O130" s="398" t="str">
        <f t="shared" si="54"/>
        <v>2030F</v>
      </c>
      <c r="P130" s="1"/>
    </row>
    <row r="131" spans="2:16" ht="17.600000000000001" customHeight="1" outlineLevel="1">
      <c r="B131" s="29" t="str">
        <f>$B$6</f>
        <v>Model Running: Base Case Drivers</v>
      </c>
      <c r="C131" s="26"/>
      <c r="D131" s="30"/>
      <c r="E131" s="30"/>
      <c r="F131" s="28"/>
      <c r="G131" s="28"/>
      <c r="H131" s="28"/>
      <c r="I131" s="28"/>
      <c r="J131" s="63"/>
      <c r="K131" s="63"/>
      <c r="L131" s="63"/>
      <c r="M131" s="63"/>
      <c r="N131" s="63"/>
      <c r="O131" s="1"/>
      <c r="P131" s="1"/>
    </row>
    <row r="132" spans="2:16" ht="17.600000000000001" customHeight="1" outlineLevel="1">
      <c r="B132" s="29"/>
      <c r="C132" s="26"/>
      <c r="D132" s="30"/>
      <c r="E132" s="30"/>
      <c r="F132" s="28"/>
      <c r="G132" s="28"/>
      <c r="H132" s="28"/>
      <c r="I132" s="28"/>
      <c r="J132" s="63"/>
      <c r="K132" s="63"/>
      <c r="L132" s="63"/>
      <c r="M132" s="63"/>
      <c r="N132" s="230"/>
      <c r="O132" s="1"/>
      <c r="P132" s="1"/>
    </row>
    <row r="133" spans="2:16" ht="17.600000000000001" customHeight="1" outlineLevel="1">
      <c r="B133" s="9" t="s">
        <v>76</v>
      </c>
      <c r="C133" s="26"/>
      <c r="D133" s="30"/>
      <c r="E133" s="30"/>
      <c r="F133" s="28"/>
      <c r="G133" s="28"/>
      <c r="H133" s="28"/>
      <c r="I133" s="28"/>
      <c r="J133" s="63"/>
      <c r="K133" s="506">
        <f t="shared" ref="K133:O133" si="55">K88</f>
        <v>5601.2269499999993</v>
      </c>
      <c r="L133" s="507">
        <f t="shared" si="55"/>
        <v>7722.7656659999993</v>
      </c>
      <c r="M133" s="507">
        <f t="shared" si="55"/>
        <v>9200.7056433599992</v>
      </c>
      <c r="N133" s="507">
        <f t="shared" si="55"/>
        <v>9902.7180141120007</v>
      </c>
      <c r="O133" s="508">
        <f t="shared" si="55"/>
        <v>10279.156821373441</v>
      </c>
      <c r="P133" s="1"/>
    </row>
    <row r="134" spans="2:16" ht="17.600000000000001" customHeight="1" outlineLevel="1">
      <c r="B134" s="29"/>
      <c r="C134" s="26"/>
      <c r="D134" s="376"/>
      <c r="E134" s="30"/>
      <c r="F134" s="30"/>
      <c r="G134" s="30"/>
      <c r="H134" s="30"/>
      <c r="I134" s="63"/>
      <c r="J134" s="63"/>
      <c r="K134" s="63"/>
      <c r="L134" s="63"/>
      <c r="M134" s="63"/>
      <c r="N134" s="230"/>
      <c r="O134" s="1"/>
      <c r="P134" s="1"/>
    </row>
    <row r="135" spans="2:16" ht="17.600000000000001" customHeight="1" outlineLevel="1">
      <c r="B135" s="509" t="s">
        <v>319</v>
      </c>
      <c r="C135" s="510"/>
      <c r="D135" s="511">
        <f>Inputs!L98</f>
        <v>0.3</v>
      </c>
      <c r="E135" s="30"/>
      <c r="F135" s="30"/>
      <c r="G135" s="30"/>
      <c r="H135" s="30"/>
      <c r="I135" s="63"/>
      <c r="J135" s="63"/>
      <c r="K135" s="63"/>
      <c r="L135" s="63"/>
      <c r="M135" s="63"/>
      <c r="N135" s="230"/>
      <c r="O135" s="1"/>
      <c r="P135" s="1"/>
    </row>
    <row r="136" spans="2:16" ht="17.600000000000001" customHeight="1" outlineLevel="1">
      <c r="B136" s="512" t="s">
        <v>320</v>
      </c>
      <c r="C136" s="458"/>
      <c r="D136" s="513">
        <f>Inputs!L99</f>
        <v>0.12</v>
      </c>
      <c r="E136" s="30"/>
      <c r="F136" s="30"/>
      <c r="G136" s="30"/>
      <c r="H136" s="30"/>
      <c r="I136" s="230"/>
      <c r="J136" s="63"/>
      <c r="K136" s="63"/>
      <c r="L136" s="63"/>
      <c r="M136" s="63"/>
      <c r="N136" s="230"/>
      <c r="O136" s="1"/>
      <c r="P136" s="1"/>
    </row>
    <row r="137" spans="2:16" ht="17.600000000000001" customHeight="1" outlineLevel="1">
      <c r="B137" s="91"/>
      <c r="C137" s="360"/>
      <c r="D137" s="514"/>
      <c r="E137" s="30"/>
      <c r="F137" s="30"/>
      <c r="G137" s="30"/>
      <c r="H137" s="30"/>
      <c r="I137" s="515"/>
      <c r="J137" s="515"/>
      <c r="K137" s="515"/>
      <c r="L137" s="515"/>
      <c r="M137" s="515"/>
      <c r="N137" s="230"/>
      <c r="O137" s="1"/>
      <c r="P137" s="1"/>
    </row>
    <row r="138" spans="2:16" ht="17.600000000000001" customHeight="1" outlineLevel="1">
      <c r="B138" s="91"/>
      <c r="C138" s="360"/>
      <c r="D138" s="514"/>
      <c r="E138" s="30"/>
      <c r="F138" s="30"/>
      <c r="G138" s="30"/>
      <c r="H138" s="30"/>
      <c r="I138" s="515"/>
      <c r="J138" s="515"/>
      <c r="K138" s="515"/>
      <c r="L138" s="515"/>
      <c r="M138" s="515"/>
      <c r="N138" s="230"/>
      <c r="O138" s="1"/>
      <c r="P138" s="1"/>
    </row>
    <row r="139" spans="2:16" ht="17.600000000000001" customHeight="1" outlineLevel="1">
      <c r="B139" s="447" t="s">
        <v>356</v>
      </c>
      <c r="C139" s="26"/>
      <c r="D139" s="30"/>
      <c r="E139" s="30"/>
      <c r="F139" s="30"/>
      <c r="G139" s="30"/>
      <c r="H139" s="30"/>
      <c r="I139" s="63"/>
      <c r="J139" s="63"/>
      <c r="K139" s="63"/>
      <c r="L139" s="63"/>
      <c r="M139" s="63"/>
      <c r="N139" s="230"/>
      <c r="O139" s="1"/>
      <c r="P139" s="1"/>
    </row>
    <row r="140" spans="2:16" ht="17.600000000000001" customHeight="1" outlineLevel="1">
      <c r="B140" s="502" t="s">
        <v>321</v>
      </c>
      <c r="C140" s="26"/>
      <c r="D140" s="30"/>
      <c r="E140" s="30"/>
      <c r="F140" s="30"/>
      <c r="G140" s="30"/>
      <c r="H140" s="30"/>
      <c r="I140" s="63"/>
      <c r="J140" s="63"/>
      <c r="K140" s="233">
        <f>J143</f>
        <v>8076</v>
      </c>
      <c r="L140" s="233">
        <f t="shared" ref="L140:O140" si="56">K143</f>
        <v>11864.458037500001</v>
      </c>
      <c r="M140" s="233">
        <f t="shared" si="56"/>
        <v>16664.122072999999</v>
      </c>
      <c r="N140" s="233">
        <f t="shared" si="56"/>
        <v>21531.436810079998</v>
      </c>
      <c r="O140" s="233">
        <f t="shared" si="56"/>
        <v>25508.811946456</v>
      </c>
      <c r="P140" s="233"/>
    </row>
    <row r="141" spans="2:16" ht="17.600000000000001" customHeight="1" outlineLevel="1">
      <c r="B141" s="502" t="s">
        <v>76</v>
      </c>
      <c r="C141" s="26"/>
      <c r="D141" s="30"/>
      <c r="E141" s="30"/>
      <c r="F141" s="30"/>
      <c r="G141" s="30"/>
      <c r="H141" s="30"/>
      <c r="I141" s="63"/>
      <c r="J141" s="63"/>
      <c r="K141" s="233">
        <f>K133</f>
        <v>5601.2269499999993</v>
      </c>
      <c r="L141" s="233">
        <f t="shared" ref="L141:O141" si="57">L133</f>
        <v>7722.7656659999993</v>
      </c>
      <c r="M141" s="233">
        <f t="shared" si="57"/>
        <v>9200.7056433599992</v>
      </c>
      <c r="N141" s="233">
        <f t="shared" si="57"/>
        <v>9902.7180141120007</v>
      </c>
      <c r="O141" s="233">
        <f t="shared" si="57"/>
        <v>10279.156821373441</v>
      </c>
      <c r="P141" s="233"/>
    </row>
    <row r="142" spans="2:16" ht="17.600000000000001" customHeight="1" outlineLevel="1">
      <c r="B142" s="502" t="s">
        <v>322</v>
      </c>
      <c r="C142" s="26"/>
      <c r="D142" s="30"/>
      <c r="E142" s="30"/>
      <c r="F142" s="30"/>
      <c r="G142" s="30"/>
      <c r="H142" s="30"/>
      <c r="I142" s="63"/>
      <c r="J142" s="516"/>
      <c r="K142" s="517">
        <f>-K121</f>
        <v>-1812.7689124999999</v>
      </c>
      <c r="L142" s="517">
        <f t="shared" ref="L142:O142" si="58">-L121</f>
        <v>-2923.1016304999998</v>
      </c>
      <c r="M142" s="517">
        <f t="shared" si="58"/>
        <v>-4333.3909062799994</v>
      </c>
      <c r="N142" s="517">
        <f t="shared" si="58"/>
        <v>-5925.3428777359995</v>
      </c>
      <c r="O142" s="517">
        <f t="shared" si="58"/>
        <v>-7607.1657806931198</v>
      </c>
      <c r="P142" s="233"/>
    </row>
    <row r="143" spans="2:16" ht="17.600000000000001" customHeight="1" outlineLevel="1">
      <c r="B143" s="502" t="s">
        <v>323</v>
      </c>
      <c r="C143" s="26"/>
      <c r="D143" s="30"/>
      <c r="E143" s="30"/>
      <c r="F143" s="30"/>
      <c r="G143" s="30"/>
      <c r="H143" s="30"/>
      <c r="I143" s="233"/>
      <c r="J143" s="233">
        <f>'Balance Sheet'!G24</f>
        <v>8076</v>
      </c>
      <c r="K143" s="233">
        <f>SUM(K140:K142)</f>
        <v>11864.458037500001</v>
      </c>
      <c r="L143" s="233">
        <f t="shared" ref="L143:O143" si="59">SUM(L140:L142)</f>
        <v>16664.122072999999</v>
      </c>
      <c r="M143" s="233">
        <f t="shared" si="59"/>
        <v>21531.436810079998</v>
      </c>
      <c r="N143" s="233">
        <f t="shared" si="59"/>
        <v>25508.811946456</v>
      </c>
      <c r="O143" s="233">
        <f t="shared" si="59"/>
        <v>28180.802987136325</v>
      </c>
      <c r="P143" s="233"/>
    </row>
    <row r="144" spans="2:16" ht="17.600000000000001" customHeight="1" outlineLevel="1">
      <c r="B144" s="502"/>
      <c r="C144" s="26"/>
      <c r="D144" s="30"/>
      <c r="E144" s="30"/>
      <c r="F144" s="30"/>
      <c r="G144" s="30"/>
      <c r="H144" s="30"/>
      <c r="I144" s="233"/>
      <c r="J144" s="233"/>
      <c r="K144" s="233"/>
      <c r="L144" s="233"/>
      <c r="M144" s="233"/>
      <c r="N144" s="233"/>
      <c r="O144" s="233"/>
      <c r="P144" s="233"/>
    </row>
    <row r="145" spans="1:18" ht="17.600000000000001" customHeight="1" outlineLevel="1">
      <c r="B145" s="447" t="s">
        <v>355</v>
      </c>
      <c r="C145" s="26"/>
      <c r="D145" s="30"/>
      <c r="E145" s="30"/>
      <c r="F145" s="30"/>
      <c r="G145" s="30"/>
      <c r="H145" s="30"/>
      <c r="I145" s="30"/>
      <c r="J145" s="408"/>
      <c r="K145" s="408"/>
      <c r="L145" s="408"/>
      <c r="M145" s="408"/>
      <c r="N145" s="408"/>
      <c r="O145" s="408"/>
      <c r="P145" s="233"/>
      <c r="Q145" s="13"/>
      <c r="R145" s="13"/>
    </row>
    <row r="146" spans="1:18" ht="17.600000000000001" customHeight="1" outlineLevel="1">
      <c r="B146" s="502" t="s">
        <v>321</v>
      </c>
      <c r="C146" s="26"/>
      <c r="D146" s="30"/>
      <c r="E146" s="30"/>
      <c r="F146" s="30"/>
      <c r="G146" s="30"/>
      <c r="H146" s="30"/>
      <c r="I146" s="363"/>
      <c r="J146" s="233"/>
      <c r="K146" s="233">
        <f>J149</f>
        <v>988</v>
      </c>
      <c r="L146" s="233">
        <f t="shared" ref="L146:O146" si="60">K149</f>
        <v>6269.0227797999996</v>
      </c>
      <c r="M146" s="233">
        <f t="shared" si="60"/>
        <v>12961.486148247999</v>
      </c>
      <c r="N146" s="233">
        <f t="shared" si="60"/>
        <v>20275.588050657279</v>
      </c>
      <c r="O146" s="233">
        <f t="shared" si="60"/>
        <v>27388.737650182375</v>
      </c>
      <c r="P146" s="233"/>
      <c r="Q146" s="13"/>
      <c r="R146" s="13"/>
    </row>
    <row r="147" spans="1:18" ht="17.600000000000001" customHeight="1" outlineLevel="1">
      <c r="B147" s="502" t="s">
        <v>76</v>
      </c>
      <c r="C147" s="26"/>
      <c r="D147" s="30"/>
      <c r="E147" s="30"/>
      <c r="F147" s="30"/>
      <c r="G147" s="30"/>
      <c r="H147" s="30"/>
      <c r="I147" s="363"/>
      <c r="J147" s="233"/>
      <c r="K147" s="233">
        <f>K133</f>
        <v>5601.2269499999993</v>
      </c>
      <c r="L147" s="233">
        <f t="shared" ref="L147:O147" si="61">L133</f>
        <v>7722.7656659999993</v>
      </c>
      <c r="M147" s="233">
        <f t="shared" si="61"/>
        <v>9200.7056433599992</v>
      </c>
      <c r="N147" s="233">
        <f t="shared" si="61"/>
        <v>9902.7180141120007</v>
      </c>
      <c r="O147" s="233">
        <f t="shared" si="61"/>
        <v>10279.156821373441</v>
      </c>
      <c r="P147" s="233"/>
      <c r="Q147" s="13"/>
      <c r="R147" s="13"/>
    </row>
    <row r="148" spans="1:18" ht="17.600000000000001" customHeight="1" outlineLevel="1">
      <c r="B148" s="502" t="s">
        <v>354</v>
      </c>
      <c r="C148" s="230"/>
      <c r="D148" s="230"/>
      <c r="E148" s="230"/>
      <c r="F148" s="230"/>
      <c r="G148" s="230"/>
      <c r="H148" s="230"/>
      <c r="I148" s="230"/>
      <c r="J148" s="518"/>
      <c r="K148" s="517">
        <f>-(K146+K147*$D$135)*$D$136</f>
        <v>-320.20417020000002</v>
      </c>
      <c r="L148" s="517">
        <f t="shared" ref="L148:O148" si="62">-(L146+L147*$D$135)*$D$136</f>
        <v>-1030.3022975519998</v>
      </c>
      <c r="M148" s="517">
        <f t="shared" si="62"/>
        <v>-1886.6037409507198</v>
      </c>
      <c r="N148" s="517">
        <f t="shared" si="62"/>
        <v>-2789.5684145869054</v>
      </c>
      <c r="O148" s="517">
        <f t="shared" si="62"/>
        <v>-3656.6981635913285</v>
      </c>
      <c r="P148" s="233"/>
      <c r="Q148" s="13"/>
      <c r="R148" s="13"/>
    </row>
    <row r="149" spans="1:18" ht="17.600000000000001" customHeight="1" outlineLevel="1">
      <c r="B149" s="502" t="s">
        <v>323</v>
      </c>
      <c r="C149" s="26"/>
      <c r="D149" s="30"/>
      <c r="E149" s="30"/>
      <c r="F149" s="30"/>
      <c r="G149" s="30"/>
      <c r="H149" s="519"/>
      <c r="I149" s="363"/>
      <c r="J149" s="397">
        <f>'Balance Sheet'!G24-('Balance Sheet'!G47/Model!D188)</f>
        <v>988</v>
      </c>
      <c r="K149" s="397">
        <f>SUM(K146:K148)</f>
        <v>6269.0227797999996</v>
      </c>
      <c r="L149" s="397">
        <f t="shared" ref="L149:O149" si="63">SUM(L146:L148)</f>
        <v>12961.486148247999</v>
      </c>
      <c r="M149" s="397">
        <f t="shared" si="63"/>
        <v>20275.588050657279</v>
      </c>
      <c r="N149" s="397">
        <f t="shared" si="63"/>
        <v>27388.737650182375</v>
      </c>
      <c r="O149" s="397">
        <f t="shared" si="63"/>
        <v>34011.196307964492</v>
      </c>
      <c r="P149" s="408"/>
    </row>
    <row r="150" spans="1:18" ht="17.600000000000001" customHeight="1" outlineLevel="1">
      <c r="B150" s="520"/>
      <c r="C150" s="374"/>
      <c r="D150" s="376"/>
      <c r="E150" s="376"/>
      <c r="F150" s="376"/>
      <c r="G150" s="376"/>
      <c r="H150" s="521"/>
      <c r="I150" s="522"/>
      <c r="J150" s="523"/>
      <c r="K150" s="523"/>
      <c r="L150" s="523"/>
      <c r="M150" s="523"/>
      <c r="N150" s="523"/>
      <c r="O150" s="523"/>
      <c r="P150" s="524"/>
    </row>
    <row r="151" spans="1:18" ht="17.600000000000001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8" ht="17.600000000000001" customHeight="1">
      <c r="A152" s="161" t="s">
        <v>132</v>
      </c>
      <c r="B152" s="21" t="s">
        <v>351</v>
      </c>
      <c r="C152" s="23"/>
      <c r="D152" s="23"/>
      <c r="E152" s="24"/>
      <c r="F152" s="24"/>
      <c r="G152" s="24"/>
      <c r="H152" s="24"/>
      <c r="I152" s="24"/>
      <c r="J152" s="24"/>
      <c r="K152" s="24"/>
      <c r="L152" s="24"/>
      <c r="M152" s="378"/>
      <c r="N152" s="505"/>
      <c r="O152" s="505"/>
      <c r="P152" s="21"/>
    </row>
    <row r="153" spans="1:18" ht="17.600000000000001" customHeight="1" outlineLevel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8" ht="17.600000000000001" customHeight="1" outlineLevel="1" thickBot="1">
      <c r="B154" s="29" t="s">
        <v>6</v>
      </c>
      <c r="C154" s="26"/>
      <c r="D154" s="30"/>
      <c r="E154" s="30"/>
      <c r="F154" s="398">
        <f t="shared" ref="F154:P154" si="64">F$5</f>
        <v>44227</v>
      </c>
      <c r="G154" s="398">
        <f t="shared" si="64"/>
        <v>44591</v>
      </c>
      <c r="H154" s="398">
        <f t="shared" si="64"/>
        <v>44955</v>
      </c>
      <c r="I154" s="398">
        <f t="shared" si="64"/>
        <v>45319</v>
      </c>
      <c r="J154" s="398">
        <f t="shared" si="64"/>
        <v>45683</v>
      </c>
      <c r="K154" s="398" t="str">
        <f t="shared" si="64"/>
        <v>2026F</v>
      </c>
      <c r="L154" s="398" t="str">
        <f t="shared" si="64"/>
        <v>2027F</v>
      </c>
      <c r="M154" s="398" t="str">
        <f t="shared" si="64"/>
        <v>2028F</v>
      </c>
      <c r="N154" s="398" t="str">
        <f t="shared" si="64"/>
        <v>2029F</v>
      </c>
      <c r="O154" s="398" t="str">
        <f t="shared" si="64"/>
        <v>2030F</v>
      </c>
      <c r="P154" s="398" t="str">
        <f t="shared" si="64"/>
        <v>Term</v>
      </c>
      <c r="Q154" s="210"/>
      <c r="R154" s="210"/>
    </row>
    <row r="155" spans="1:18" ht="17.600000000000001" customHeight="1" outlineLevel="1">
      <c r="B155" s="29" t="str">
        <f>$B$6</f>
        <v>Model Running: Base Case Drivers</v>
      </c>
      <c r="C155" s="26"/>
      <c r="D155" s="30"/>
      <c r="E155" s="30"/>
      <c r="F155" s="28"/>
      <c r="G155" s="28"/>
      <c r="H155" s="28"/>
      <c r="I155" s="28"/>
      <c r="J155" s="63"/>
      <c r="K155" s="63"/>
      <c r="L155" s="63"/>
      <c r="M155" s="63"/>
      <c r="N155" s="63"/>
      <c r="O155" s="1"/>
      <c r="P155" s="8"/>
      <c r="Q155" s="210"/>
      <c r="R155" s="210"/>
    </row>
    <row r="156" spans="1:18" ht="17.600000000000001" customHeight="1" outlineLevel="1">
      <c r="B156" s="29"/>
      <c r="C156" s="26"/>
      <c r="D156" s="30"/>
      <c r="E156" s="30"/>
      <c r="F156" s="28"/>
      <c r="G156" s="28"/>
      <c r="H156" s="28"/>
      <c r="I156" s="28"/>
      <c r="J156" s="63"/>
      <c r="K156" s="63"/>
      <c r="L156" s="63"/>
      <c r="M156" s="63"/>
      <c r="N156" s="63"/>
      <c r="O156" s="1"/>
      <c r="P156" s="8"/>
      <c r="Q156" s="210"/>
      <c r="R156" s="210"/>
    </row>
    <row r="157" spans="1:18" ht="17.600000000000001" customHeight="1" outlineLevel="1">
      <c r="B157" s="104" t="s">
        <v>245</v>
      </c>
      <c r="C157" s="26"/>
      <c r="D157" s="30"/>
      <c r="E157" s="30"/>
      <c r="F157" s="704">
        <f>F$8</f>
        <v>365</v>
      </c>
      <c r="G157" s="704">
        <f t="shared" ref="G157:P157" si="65">G$8</f>
        <v>365</v>
      </c>
      <c r="H157" s="704">
        <f t="shared" si="65"/>
        <v>365</v>
      </c>
      <c r="I157" s="704">
        <f t="shared" si="65"/>
        <v>365</v>
      </c>
      <c r="J157" s="704">
        <f t="shared" si="65"/>
        <v>365</v>
      </c>
      <c r="K157" s="704">
        <f t="shared" si="65"/>
        <v>365</v>
      </c>
      <c r="L157" s="704">
        <f t="shared" si="65"/>
        <v>365</v>
      </c>
      <c r="M157" s="704">
        <f t="shared" si="65"/>
        <v>365</v>
      </c>
      <c r="N157" s="704">
        <f t="shared" si="65"/>
        <v>365</v>
      </c>
      <c r="O157" s="704">
        <f t="shared" si="65"/>
        <v>365</v>
      </c>
      <c r="P157" s="704">
        <f t="shared" si="65"/>
        <v>365</v>
      </c>
      <c r="Q157" s="210"/>
      <c r="R157" s="210"/>
    </row>
    <row r="158" spans="1:18" ht="17.600000000000001" customHeight="1" outlineLevel="1">
      <c r="B158" s="502" t="s">
        <v>324</v>
      </c>
      <c r="C158" s="26"/>
      <c r="D158" s="30"/>
      <c r="E158" s="30"/>
      <c r="F158" s="233">
        <f t="shared" ref="F158:P158" si="66">F46</f>
        <v>16675</v>
      </c>
      <c r="G158" s="233">
        <f t="shared" si="66"/>
        <v>26914</v>
      </c>
      <c r="H158" s="233">
        <f t="shared" si="66"/>
        <v>26974</v>
      </c>
      <c r="I158" s="233">
        <f t="shared" si="66"/>
        <v>60922</v>
      </c>
      <c r="J158" s="233">
        <f t="shared" si="66"/>
        <v>130497</v>
      </c>
      <c r="K158" s="233">
        <f t="shared" si="66"/>
        <v>207452.84999999998</v>
      </c>
      <c r="L158" s="233">
        <f t="shared" si="66"/>
        <v>275813.05949999997</v>
      </c>
      <c r="M158" s="233">
        <f t="shared" si="66"/>
        <v>328596.63011999999</v>
      </c>
      <c r="N158" s="233">
        <f t="shared" si="66"/>
        <v>366767.33385600004</v>
      </c>
      <c r="O158" s="233">
        <f t="shared" si="66"/>
        <v>395352.18543744006</v>
      </c>
      <c r="P158" s="233">
        <f t="shared" si="66"/>
        <v>414726.39644325123</v>
      </c>
      <c r="Q158" s="210"/>
      <c r="R158" s="210"/>
    </row>
    <row r="159" spans="1:18" ht="17.600000000000001" customHeight="1" outlineLevel="1">
      <c r="B159" s="502" t="s">
        <v>325</v>
      </c>
      <c r="C159" s="26"/>
      <c r="D159" s="30"/>
      <c r="E159" s="30"/>
      <c r="F159" s="233">
        <f t="shared" ref="F159:P159" si="67">F47</f>
        <v>6118</v>
      </c>
      <c r="G159" s="233">
        <f t="shared" si="67"/>
        <v>9439</v>
      </c>
      <c r="H159" s="233">
        <f t="shared" si="67"/>
        <v>11618</v>
      </c>
      <c r="I159" s="233">
        <f t="shared" si="67"/>
        <v>16621</v>
      </c>
      <c r="J159" s="233">
        <f t="shared" si="67"/>
        <v>32639</v>
      </c>
      <c r="K159" s="233">
        <f t="shared" si="67"/>
        <v>56427.175199999998</v>
      </c>
      <c r="L159" s="233">
        <f t="shared" si="67"/>
        <v>71987.2085295</v>
      </c>
      <c r="M159" s="233">
        <f t="shared" si="67"/>
        <v>83792.140680600001</v>
      </c>
      <c r="N159" s="233">
        <f t="shared" si="67"/>
        <v>102694.85347968002</v>
      </c>
      <c r="O159" s="233">
        <f t="shared" si="67"/>
        <v>118605.65563123203</v>
      </c>
      <c r="P159" s="233">
        <f t="shared" si="67"/>
        <v>132712.44686184038</v>
      </c>
      <c r="Q159" s="210"/>
      <c r="R159" s="210"/>
    </row>
    <row r="160" spans="1:18" ht="17.600000000000001" customHeight="1" outlineLevel="1">
      <c r="B160" s="106"/>
      <c r="C160" s="407"/>
      <c r="D160" s="8"/>
      <c r="E160" s="8"/>
      <c r="F160" s="8"/>
      <c r="G160" s="8"/>
      <c r="H160" s="8"/>
      <c r="I160" s="525"/>
      <c r="J160" s="525"/>
      <c r="K160" s="525"/>
      <c r="L160" s="525"/>
      <c r="M160" s="525"/>
      <c r="N160" s="525"/>
      <c r="O160" s="1"/>
      <c r="P160" s="8"/>
      <c r="Q160" s="210"/>
      <c r="R160" s="210"/>
    </row>
    <row r="161" spans="2:18" ht="17.600000000000001" customHeight="1" outlineLevel="1">
      <c r="B161" s="32" t="s">
        <v>469</v>
      </c>
      <c r="C161" s="407"/>
      <c r="D161" s="8"/>
      <c r="E161" s="8"/>
      <c r="F161" s="8"/>
      <c r="G161" s="8"/>
      <c r="H161" s="8"/>
      <c r="I161" s="525"/>
      <c r="J161" s="525"/>
      <c r="K161" s="525"/>
      <c r="L161" s="525"/>
      <c r="M161" s="525"/>
      <c r="N161" s="525"/>
      <c r="O161" s="1"/>
      <c r="P161" s="8"/>
      <c r="Q161" s="210"/>
      <c r="R161" s="210"/>
    </row>
    <row r="162" spans="2:18" ht="17.600000000000001" customHeight="1" outlineLevel="1">
      <c r="B162" s="502" t="s">
        <v>30</v>
      </c>
      <c r="C162" s="8"/>
      <c r="D162" s="361" t="s">
        <v>243</v>
      </c>
      <c r="E162" s="361"/>
      <c r="F162" s="397">
        <f>(F167/F158)*F$157</f>
        <v>53.168515742128939</v>
      </c>
      <c r="G162" s="397">
        <f t="shared" ref="G162:J162" si="68">(G167/G158)*G$157</f>
        <v>63.061975180203611</v>
      </c>
      <c r="H162" s="397">
        <f t="shared" si="68"/>
        <v>51.785237636242307</v>
      </c>
      <c r="I162" s="397">
        <f t="shared" si="68"/>
        <v>59.906683956534586</v>
      </c>
      <c r="J162" s="397">
        <f t="shared" si="68"/>
        <v>64.512785734537957</v>
      </c>
      <c r="K162" s="397">
        <f>Inputs!G47</f>
        <v>64</v>
      </c>
      <c r="L162" s="397">
        <f>Inputs!H47</f>
        <v>63</v>
      </c>
      <c r="M162" s="397">
        <f>Inputs!I47</f>
        <v>62</v>
      </c>
      <c r="N162" s="397">
        <f>Inputs!J47</f>
        <v>61</v>
      </c>
      <c r="O162" s="397">
        <f>Inputs!K47</f>
        <v>60</v>
      </c>
      <c r="P162" s="397">
        <f>Inputs!L47</f>
        <v>60</v>
      </c>
      <c r="Q162" s="210"/>
      <c r="R162" s="210"/>
    </row>
    <row r="163" spans="2:18" ht="17.600000000000001" customHeight="1" outlineLevel="1">
      <c r="B163" s="502" t="s">
        <v>8</v>
      </c>
      <c r="C163" s="8"/>
      <c r="D163" s="361" t="s">
        <v>243</v>
      </c>
      <c r="E163" s="361"/>
      <c r="F163" s="397">
        <f>(F168/F159)*F$157</f>
        <v>108.93919581562602</v>
      </c>
      <c r="G163" s="397">
        <f t="shared" ref="G163:J163" si="69">(G168/G159)*G$157</f>
        <v>100.73365822650703</v>
      </c>
      <c r="H163" s="397">
        <f t="shared" si="69"/>
        <v>162.079101394388</v>
      </c>
      <c r="I163" s="397">
        <f t="shared" si="69"/>
        <v>115.99362252572048</v>
      </c>
      <c r="J163" s="397">
        <f t="shared" si="69"/>
        <v>112.72404179049603</v>
      </c>
      <c r="K163" s="397">
        <f>Inputs!G48</f>
        <v>31</v>
      </c>
      <c r="L163" s="397">
        <f>Inputs!H48</f>
        <v>30</v>
      </c>
      <c r="M163" s="397">
        <f>Inputs!I48</f>
        <v>29</v>
      </c>
      <c r="N163" s="397">
        <f>Inputs!J48</f>
        <v>29</v>
      </c>
      <c r="O163" s="397">
        <f>Inputs!K48</f>
        <v>28</v>
      </c>
      <c r="P163" s="397">
        <f>Inputs!L48</f>
        <v>28</v>
      </c>
      <c r="Q163" s="210"/>
      <c r="R163" s="210"/>
    </row>
    <row r="164" spans="2:18" ht="17.600000000000001" customHeight="1" outlineLevel="1">
      <c r="B164" s="502" t="s">
        <v>43</v>
      </c>
      <c r="C164" s="8"/>
      <c r="D164" s="361" t="s">
        <v>243</v>
      </c>
      <c r="E164" s="361"/>
      <c r="F164" s="397">
        <f>(F169/F159)*F$157</f>
        <v>68.549362536776727</v>
      </c>
      <c r="G164" s="397">
        <f t="shared" ref="G164:J164" si="70">(G169/G159)*G$157</f>
        <v>68.947452060599645</v>
      </c>
      <c r="H164" s="397">
        <f t="shared" si="70"/>
        <v>37.480203133069374</v>
      </c>
      <c r="I164" s="397">
        <f t="shared" si="70"/>
        <v>59.270501173214605</v>
      </c>
      <c r="J164" s="397">
        <f t="shared" si="70"/>
        <v>70.564355525598216</v>
      </c>
      <c r="K164" s="397">
        <f>Inputs!G49</f>
        <v>48</v>
      </c>
      <c r="L164" s="397">
        <f>Inputs!H49</f>
        <v>49</v>
      </c>
      <c r="M164" s="397">
        <f>Inputs!I49</f>
        <v>50</v>
      </c>
      <c r="N164" s="397">
        <f>Inputs!J49</f>
        <v>50</v>
      </c>
      <c r="O164" s="397">
        <f>Inputs!K49</f>
        <v>50</v>
      </c>
      <c r="P164" s="397">
        <f>Inputs!L49</f>
        <v>50</v>
      </c>
      <c r="Q164" s="210"/>
      <c r="R164" s="210"/>
    </row>
    <row r="165" spans="2:18" ht="17.600000000000001" customHeight="1" outlineLevel="1">
      <c r="B165" s="106"/>
      <c r="C165" s="8"/>
      <c r="D165" s="526"/>
      <c r="E165" s="526"/>
      <c r="F165" s="527"/>
      <c r="G165" s="528"/>
      <c r="H165" s="528"/>
      <c r="I165" s="529"/>
      <c r="J165" s="529"/>
      <c r="K165" s="529"/>
      <c r="L165" s="529"/>
      <c r="M165" s="529"/>
      <c r="N165" s="529"/>
      <c r="O165" s="1"/>
      <c r="P165" s="8"/>
      <c r="Q165" s="210"/>
      <c r="R165" s="210"/>
    </row>
    <row r="166" spans="2:18" ht="17.600000000000001" customHeight="1" outlineLevel="1">
      <c r="B166" s="32" t="s">
        <v>326</v>
      </c>
      <c r="C166" s="407"/>
      <c r="D166" s="8"/>
      <c r="E166" s="8"/>
      <c r="F166" s="8"/>
      <c r="G166" s="8"/>
      <c r="H166" s="8"/>
      <c r="I166" s="525"/>
      <c r="J166" s="525"/>
      <c r="K166" s="525"/>
      <c r="L166" s="525"/>
      <c r="M166" s="525"/>
      <c r="N166" s="525"/>
      <c r="O166" s="1"/>
      <c r="P166" s="8"/>
      <c r="Q166" s="210"/>
      <c r="R166" s="210"/>
    </row>
    <row r="167" spans="2:18" ht="17.600000000000001" customHeight="1" outlineLevel="1">
      <c r="B167" s="502" t="s">
        <v>30</v>
      </c>
      <c r="C167" s="8"/>
      <c r="D167" s="8"/>
      <c r="E167" s="8"/>
      <c r="F167" s="397">
        <f>'Balance Sheet'!C13</f>
        <v>2429</v>
      </c>
      <c r="G167" s="397">
        <f>'Balance Sheet'!D13</f>
        <v>4650</v>
      </c>
      <c r="H167" s="397">
        <f>'Balance Sheet'!E13</f>
        <v>3827</v>
      </c>
      <c r="I167" s="397">
        <f>'Balance Sheet'!F13</f>
        <v>9999</v>
      </c>
      <c r="J167" s="397">
        <f>'Balance Sheet'!G13</f>
        <v>23065</v>
      </c>
      <c r="K167" s="397">
        <f>(K162/K$157)*K158</f>
        <v>36375.294246575337</v>
      </c>
      <c r="L167" s="397">
        <f t="shared" ref="L167:P167" si="71">(L162/L$157)*L158</f>
        <v>47606.089721917808</v>
      </c>
      <c r="M167" s="397">
        <f t="shared" si="71"/>
        <v>55816.413883397254</v>
      </c>
      <c r="N167" s="397">
        <f t="shared" si="71"/>
        <v>61295.362644427405</v>
      </c>
      <c r="O167" s="397">
        <f t="shared" si="71"/>
        <v>64989.400345880553</v>
      </c>
      <c r="P167" s="397">
        <f t="shared" si="71"/>
        <v>68174.202155054998</v>
      </c>
      <c r="Q167" s="210"/>
      <c r="R167" s="210"/>
    </row>
    <row r="168" spans="2:18" ht="17.600000000000001" customHeight="1" outlineLevel="1">
      <c r="B168" s="502" t="s">
        <v>8</v>
      </c>
      <c r="C168" s="8"/>
      <c r="D168" s="8"/>
      <c r="E168" s="8"/>
      <c r="F168" s="397">
        <f>'Balance Sheet'!C16</f>
        <v>1826</v>
      </c>
      <c r="G168" s="397">
        <f>'Balance Sheet'!D16</f>
        <v>2605</v>
      </c>
      <c r="H168" s="397">
        <f>'Balance Sheet'!E16</f>
        <v>5159</v>
      </c>
      <c r="I168" s="397">
        <f>'Balance Sheet'!F16</f>
        <v>5282</v>
      </c>
      <c r="J168" s="397">
        <f>'Balance Sheet'!G16</f>
        <v>10080</v>
      </c>
      <c r="K168" s="397">
        <f>(K163/K$157)*K159</f>
        <v>4792.4450169863012</v>
      </c>
      <c r="L168" s="397">
        <f t="shared" ref="L168:P168" si="72">(L163/L$157)*L159</f>
        <v>5916.7568654383558</v>
      </c>
      <c r="M168" s="397">
        <f t="shared" si="72"/>
        <v>6657.4577527052061</v>
      </c>
      <c r="N168" s="397">
        <f t="shared" si="72"/>
        <v>8159.3171257827971</v>
      </c>
      <c r="O168" s="397">
        <f t="shared" si="72"/>
        <v>9098.5160484232802</v>
      </c>
      <c r="P168" s="397">
        <f t="shared" si="72"/>
        <v>10180.680855154878</v>
      </c>
      <c r="Q168" s="210"/>
      <c r="R168" s="210"/>
    </row>
    <row r="169" spans="2:18" ht="17.600000000000001" customHeight="1" outlineLevel="1">
      <c r="B169" s="502" t="s">
        <v>43</v>
      </c>
      <c r="C169" s="8"/>
      <c r="D169" s="8"/>
      <c r="E169" s="8"/>
      <c r="F169" s="397">
        <f>'Balance Sheet'!C34</f>
        <v>1149</v>
      </c>
      <c r="G169" s="397">
        <f>'Balance Sheet'!D34</f>
        <v>1783</v>
      </c>
      <c r="H169" s="397">
        <f>'Balance Sheet'!E34</f>
        <v>1193</v>
      </c>
      <c r="I169" s="397">
        <f>'Balance Sheet'!F34</f>
        <v>2699</v>
      </c>
      <c r="J169" s="397">
        <f>'Balance Sheet'!G34</f>
        <v>6310</v>
      </c>
      <c r="K169" s="397">
        <f>(K164/K$157)*K159</f>
        <v>7420.5600263013685</v>
      </c>
      <c r="L169" s="397">
        <f t="shared" ref="L169:P169" si="73">(L164/L$157)*L159</f>
        <v>9664.036213549316</v>
      </c>
      <c r="M169" s="397">
        <f t="shared" si="73"/>
        <v>11478.37543569863</v>
      </c>
      <c r="N169" s="397">
        <f t="shared" si="73"/>
        <v>14067.788147901372</v>
      </c>
      <c r="O169" s="397">
        <f t="shared" si="73"/>
        <v>16247.35008647014</v>
      </c>
      <c r="P169" s="397">
        <f t="shared" si="73"/>
        <v>18179.787241347996</v>
      </c>
      <c r="Q169" s="210"/>
      <c r="R169" s="210"/>
    </row>
    <row r="170" spans="2:18" ht="17.600000000000001" customHeight="1" outlineLevel="1">
      <c r="B170" s="106"/>
      <c r="C170" s="407"/>
      <c r="D170" s="8"/>
      <c r="E170" s="8"/>
      <c r="F170" s="8"/>
      <c r="G170" s="8"/>
      <c r="H170" s="8"/>
      <c r="I170" s="525"/>
      <c r="J170" s="525"/>
      <c r="K170" s="525"/>
      <c r="L170" s="525"/>
      <c r="M170" s="525"/>
      <c r="N170" s="525"/>
      <c r="O170" s="1"/>
      <c r="P170" s="8"/>
      <c r="Q170" s="210"/>
      <c r="R170" s="210"/>
    </row>
    <row r="171" spans="2:18" ht="17.600000000000001" customHeight="1" outlineLevel="1">
      <c r="B171" s="32" t="s">
        <v>327</v>
      </c>
      <c r="C171" s="407"/>
      <c r="D171" s="8"/>
      <c r="E171" s="8"/>
      <c r="F171" s="8"/>
      <c r="G171" s="8"/>
      <c r="H171" s="8"/>
      <c r="I171" s="525"/>
      <c r="J171" s="525"/>
      <c r="K171" s="525"/>
      <c r="L171" s="525"/>
      <c r="M171" s="525"/>
      <c r="N171" s="525"/>
      <c r="O171" s="1"/>
      <c r="P171" s="8"/>
      <c r="Q171" s="210"/>
      <c r="R171" s="210"/>
    </row>
    <row r="172" spans="2:18" ht="17.600000000000001" customHeight="1" outlineLevel="1">
      <c r="B172" s="502" t="s">
        <v>328</v>
      </c>
      <c r="C172" s="8"/>
      <c r="D172" s="8"/>
      <c r="E172" s="8"/>
      <c r="F172" s="233">
        <f>SUM(F167:F168)</f>
        <v>4255</v>
      </c>
      <c r="G172" s="233">
        <f>SUM(G167:G168)</f>
        <v>7255</v>
      </c>
      <c r="H172" s="233">
        <f>SUM(H167:H168)</f>
        <v>8986</v>
      </c>
      <c r="I172" s="233">
        <f>SUM(I167:I168)</f>
        <v>15281</v>
      </c>
      <c r="J172" s="233">
        <f>SUM(J167:J168)</f>
        <v>33145</v>
      </c>
      <c r="K172" s="233">
        <f t="shared" ref="K172:P172" si="74">SUM(K167:K168)</f>
        <v>41167.739263561642</v>
      </c>
      <c r="L172" s="233">
        <f t="shared" si="74"/>
        <v>53522.846587356165</v>
      </c>
      <c r="M172" s="233">
        <f t="shared" si="74"/>
        <v>62473.871636102456</v>
      </c>
      <c r="N172" s="233">
        <f t="shared" si="74"/>
        <v>69454.679770210205</v>
      </c>
      <c r="O172" s="233">
        <f t="shared" si="74"/>
        <v>74087.916394303829</v>
      </c>
      <c r="P172" s="233">
        <f t="shared" si="74"/>
        <v>78354.883010209873</v>
      </c>
      <c r="Q172" s="210"/>
      <c r="R172" s="210"/>
    </row>
    <row r="173" spans="2:18" ht="17.600000000000001" customHeight="1" outlineLevel="1">
      <c r="B173" s="502" t="s">
        <v>329</v>
      </c>
      <c r="C173" s="8"/>
      <c r="D173" s="8"/>
      <c r="E173" s="8"/>
      <c r="F173" s="517">
        <f>SUM(F169)</f>
        <v>1149</v>
      </c>
      <c r="G173" s="517">
        <f>SUM(G169)</f>
        <v>1783</v>
      </c>
      <c r="H173" s="517">
        <f>SUM(H169)</f>
        <v>1193</v>
      </c>
      <c r="I173" s="517">
        <f>SUM(I169)</f>
        <v>2699</v>
      </c>
      <c r="J173" s="517">
        <f>SUM(J169)</f>
        <v>6310</v>
      </c>
      <c r="K173" s="517">
        <f t="shared" ref="K173:P173" si="75">SUM(K169)</f>
        <v>7420.5600263013685</v>
      </c>
      <c r="L173" s="517">
        <f t="shared" si="75"/>
        <v>9664.036213549316</v>
      </c>
      <c r="M173" s="517">
        <f t="shared" si="75"/>
        <v>11478.37543569863</v>
      </c>
      <c r="N173" s="517">
        <f t="shared" si="75"/>
        <v>14067.788147901372</v>
      </c>
      <c r="O173" s="517">
        <f t="shared" si="75"/>
        <v>16247.35008647014</v>
      </c>
      <c r="P173" s="517">
        <f t="shared" si="75"/>
        <v>18179.787241347996</v>
      </c>
      <c r="Q173" s="210"/>
      <c r="R173" s="210"/>
    </row>
    <row r="174" spans="2:18" ht="17.600000000000001" customHeight="1" outlineLevel="1">
      <c r="B174" s="502" t="s">
        <v>330</v>
      </c>
      <c r="C174" s="8"/>
      <c r="D174" s="8"/>
      <c r="E174" s="8"/>
      <c r="F174" s="233">
        <f t="shared" ref="F174:J174" si="76">F172-F173</f>
        <v>3106</v>
      </c>
      <c r="G174" s="233">
        <f t="shared" si="76"/>
        <v>5472</v>
      </c>
      <c r="H174" s="233">
        <f t="shared" si="76"/>
        <v>7793</v>
      </c>
      <c r="I174" s="233">
        <f t="shared" si="76"/>
        <v>12582</v>
      </c>
      <c r="J174" s="233">
        <f t="shared" si="76"/>
        <v>26835</v>
      </c>
      <c r="K174" s="233">
        <f t="shared" ref="K174:P174" si="77">K172-K173</f>
        <v>33747.179237260272</v>
      </c>
      <c r="L174" s="233">
        <f t="shared" si="77"/>
        <v>43858.810373806846</v>
      </c>
      <c r="M174" s="233">
        <f t="shared" si="77"/>
        <v>50995.496200403824</v>
      </c>
      <c r="N174" s="233">
        <f t="shared" si="77"/>
        <v>55386.891622308831</v>
      </c>
      <c r="O174" s="233">
        <f t="shared" si="77"/>
        <v>57840.566307833687</v>
      </c>
      <c r="P174" s="233">
        <f t="shared" si="77"/>
        <v>60175.09576886188</v>
      </c>
      <c r="Q174" s="210"/>
      <c r="R174" s="210"/>
    </row>
    <row r="175" spans="2:18" ht="17.600000000000001" customHeight="1" outlineLevel="1">
      <c r="B175" s="474"/>
      <c r="C175" s="407"/>
      <c r="D175" s="8"/>
      <c r="E175" s="8"/>
      <c r="F175" s="8"/>
      <c r="G175" s="8"/>
      <c r="H175" s="8"/>
      <c r="I175" s="525"/>
      <c r="J175" s="525"/>
      <c r="K175" s="525"/>
      <c r="L175" s="525"/>
      <c r="M175" s="525"/>
      <c r="N175" s="525"/>
      <c r="O175" s="1"/>
      <c r="P175" s="8"/>
      <c r="Q175" s="210"/>
      <c r="R175" s="210"/>
    </row>
    <row r="176" spans="2:18" ht="17.600000000000001" customHeight="1" outlineLevel="1">
      <c r="B176" s="474"/>
      <c r="C176" s="407"/>
      <c r="D176" s="8"/>
      <c r="E176" s="8"/>
      <c r="F176" s="8"/>
      <c r="G176" s="8"/>
      <c r="H176" s="8"/>
      <c r="I176" s="525"/>
      <c r="J176" s="525"/>
      <c r="K176" s="525"/>
      <c r="L176" s="525"/>
      <c r="M176" s="525"/>
      <c r="N176" s="525"/>
      <c r="O176" s="1"/>
      <c r="P176" s="8"/>
      <c r="Q176" s="210"/>
      <c r="R176" s="210"/>
    </row>
    <row r="177" spans="1:18" ht="17.600000000000001" customHeight="1" outlineLevel="1" thickBot="1">
      <c r="B177" s="530" t="s">
        <v>331</v>
      </c>
      <c r="C177" s="407"/>
      <c r="D177" s="407"/>
      <c r="E177" s="407"/>
      <c r="F177" s="531">
        <f t="shared" ref="F177:M177" si="78">E174-F174</f>
        <v>-3106</v>
      </c>
      <c r="G177" s="531">
        <f t="shared" si="78"/>
        <v>-2366</v>
      </c>
      <c r="H177" s="531">
        <f t="shared" si="78"/>
        <v>-2321</v>
      </c>
      <c r="I177" s="531">
        <f t="shared" si="78"/>
        <v>-4789</v>
      </c>
      <c r="J177" s="531">
        <f t="shared" si="78"/>
        <v>-14253</v>
      </c>
      <c r="K177" s="531">
        <f t="shared" si="78"/>
        <v>-6912.1792372602722</v>
      </c>
      <c r="L177" s="531">
        <f t="shared" si="78"/>
        <v>-10111.631136546574</v>
      </c>
      <c r="M177" s="531">
        <f t="shared" si="78"/>
        <v>-7136.6858265969786</v>
      </c>
      <c r="N177" s="531">
        <f t="shared" ref="N177" si="79">M174-N174</f>
        <v>-4391.3954219050065</v>
      </c>
      <c r="O177" s="531">
        <f t="shared" ref="O177" si="80">N174-O174</f>
        <v>-2453.6746855248566</v>
      </c>
      <c r="P177" s="532">
        <f t="shared" ref="P177" si="81">O174-P174</f>
        <v>-2334.5294610281926</v>
      </c>
      <c r="Q177" s="210"/>
      <c r="R177" s="210"/>
    </row>
    <row r="178" spans="1:18" ht="17.600000000000001" customHeight="1" outlineLevel="1">
      <c r="B178" s="533"/>
      <c r="C178" s="534"/>
      <c r="D178" s="534"/>
      <c r="E178" s="534"/>
      <c r="F178" s="534"/>
      <c r="G178" s="535"/>
      <c r="H178" s="535"/>
      <c r="I178" s="535"/>
      <c r="J178" s="535"/>
      <c r="K178" s="535"/>
      <c r="L178" s="535"/>
      <c r="M178" s="535"/>
      <c r="N178" s="535"/>
      <c r="O178" s="221"/>
      <c r="P178" s="536"/>
      <c r="Q178" s="210"/>
      <c r="R178" s="210"/>
    </row>
    <row r="179" spans="1:18" ht="17.600000000000001" customHeight="1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spans="1:18" ht="17.600000000000001" customHeight="1">
      <c r="A180" s="161" t="s">
        <v>132</v>
      </c>
      <c r="B180" s="21" t="s">
        <v>332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</row>
    <row r="181" spans="1:18" ht="17.600000000000001" customHeight="1" outlineLevel="1">
      <c r="B181" s="25"/>
      <c r="C181" s="26"/>
      <c r="D181" s="27"/>
      <c r="E181" s="27"/>
      <c r="F181" s="28"/>
      <c r="G181" s="28"/>
      <c r="H181" s="28"/>
      <c r="I181" s="28"/>
      <c r="J181" s="28"/>
      <c r="K181" s="537"/>
      <c r="L181" s="537"/>
      <c r="M181" s="537"/>
      <c r="N181" s="538"/>
      <c r="O181" s="323"/>
      <c r="P181" s="1"/>
    </row>
    <row r="182" spans="1:18" ht="17.600000000000001" customHeight="1" outlineLevel="1" thickBot="1">
      <c r="B182" s="29" t="s">
        <v>6</v>
      </c>
      <c r="C182" s="26"/>
      <c r="D182" s="30"/>
      <c r="E182" s="30"/>
      <c r="F182" s="30"/>
      <c r="G182" s="30"/>
      <c r="H182" s="30"/>
      <c r="I182" s="30"/>
      <c r="J182" s="30"/>
      <c r="K182" s="539" t="str">
        <f t="shared" ref="K182:O182" si="82">K$5</f>
        <v>2026F</v>
      </c>
      <c r="L182" s="539" t="str">
        <f t="shared" si="82"/>
        <v>2027F</v>
      </c>
      <c r="M182" s="539" t="str">
        <f t="shared" si="82"/>
        <v>2028F</v>
      </c>
      <c r="N182" s="539" t="str">
        <f t="shared" si="82"/>
        <v>2029F</v>
      </c>
      <c r="O182" s="539" t="str">
        <f t="shared" si="82"/>
        <v>2030F</v>
      </c>
      <c r="P182" s="1"/>
    </row>
    <row r="183" spans="1:18" ht="17.600000000000001" customHeight="1" outlineLevel="1">
      <c r="B183" s="29" t="str">
        <f>$B$6</f>
        <v>Model Running: Base Case Drivers</v>
      </c>
      <c r="C183" s="26"/>
      <c r="D183" s="30"/>
      <c r="E183" s="30"/>
      <c r="F183" s="30"/>
      <c r="G183" s="30"/>
      <c r="H183" s="30"/>
      <c r="I183" s="63"/>
      <c r="J183" s="63"/>
      <c r="K183" s="63"/>
      <c r="L183" s="63"/>
      <c r="M183" s="63"/>
      <c r="N183" s="63"/>
      <c r="O183" s="1"/>
      <c r="P183" s="1"/>
    </row>
    <row r="184" spans="1:18" ht="17.600000000000001" customHeight="1" outlineLevel="1">
      <c r="B184" s="29"/>
      <c r="C184" s="26"/>
      <c r="D184" s="30"/>
      <c r="E184" s="30"/>
      <c r="F184" s="30"/>
      <c r="G184" s="30"/>
      <c r="H184" s="30"/>
      <c r="I184" s="63"/>
      <c r="J184" s="63"/>
      <c r="K184" s="63"/>
      <c r="L184" s="63"/>
      <c r="M184" s="63"/>
      <c r="N184" s="230"/>
      <c r="O184" s="1"/>
      <c r="P184" s="1"/>
    </row>
    <row r="185" spans="1:18" ht="17.600000000000001" customHeight="1" outlineLevel="1">
      <c r="B185" s="9" t="s">
        <v>333</v>
      </c>
      <c r="C185" s="26"/>
      <c r="D185" s="30"/>
      <c r="E185" s="30"/>
      <c r="F185" s="230"/>
      <c r="G185" s="363"/>
      <c r="H185" s="233"/>
      <c r="I185" s="1"/>
      <c r="J185" s="1"/>
      <c r="K185" s="379">
        <f>K58</f>
        <v>20177.233187500005</v>
      </c>
      <c r="L185" s="380">
        <f>L58</f>
        <v>27002.615325250008</v>
      </c>
      <c r="M185" s="380">
        <f>M58</f>
        <v>32469.431667160006</v>
      </c>
      <c r="N185" s="380">
        <f>N58</f>
        <v>49089.757200664018</v>
      </c>
      <c r="O185" s="540">
        <f>O58</f>
        <v>62370.171041733782</v>
      </c>
      <c r="P185" s="1"/>
    </row>
    <row r="186" spans="1:18" ht="17.600000000000001" customHeight="1" outlineLevel="1">
      <c r="B186" s="9" t="s">
        <v>334</v>
      </c>
      <c r="C186" s="26"/>
      <c r="D186" s="30"/>
      <c r="E186" s="30"/>
      <c r="F186" s="30"/>
      <c r="G186" s="30"/>
      <c r="H186" s="30"/>
      <c r="I186" s="1"/>
      <c r="J186" s="1"/>
      <c r="K186" s="541">
        <f>IF(K196&gt;0,1,0)</f>
        <v>1</v>
      </c>
      <c r="L186" s="542">
        <f>IF(L196&gt;0,1,0)</f>
        <v>1</v>
      </c>
      <c r="M186" s="542">
        <f>IF(M196&gt;0,1,0)</f>
        <v>1</v>
      </c>
      <c r="N186" s="542">
        <f>IF(N196&gt;0,1,0)</f>
        <v>1</v>
      </c>
      <c r="O186" s="543">
        <f>IF(O196&gt;0,1,0)</f>
        <v>1</v>
      </c>
      <c r="P186" s="1"/>
    </row>
    <row r="187" spans="1:18" ht="17.600000000000001" customHeight="1" outlineLevel="1">
      <c r="B187" s="29"/>
      <c r="C187" s="26"/>
      <c r="D187" s="30"/>
      <c r="E187" s="30"/>
      <c r="F187" s="30"/>
      <c r="G187" s="30"/>
      <c r="H187" s="30"/>
      <c r="I187" s="63"/>
      <c r="J187" s="63"/>
      <c r="K187" s="63"/>
      <c r="L187" s="63"/>
      <c r="M187" s="63"/>
      <c r="N187" s="230"/>
      <c r="O187" s="1"/>
      <c r="P187" s="1"/>
    </row>
    <row r="188" spans="1:18" ht="17.600000000000001" customHeight="1" outlineLevel="1">
      <c r="B188" s="509" t="s">
        <v>92</v>
      </c>
      <c r="C188" s="544"/>
      <c r="D188" s="545">
        <f>Inputs!L79</f>
        <v>0.125</v>
      </c>
      <c r="E188" s="30"/>
      <c r="F188" s="30"/>
      <c r="G188" s="30"/>
      <c r="H188" s="30"/>
      <c r="I188" s="63"/>
      <c r="J188" s="63"/>
      <c r="K188" s="63"/>
      <c r="L188" s="63"/>
      <c r="M188" s="63"/>
      <c r="N188" s="230"/>
      <c r="O188" s="1"/>
      <c r="P188" s="1"/>
    </row>
    <row r="189" spans="1:18" ht="17.600000000000001" customHeight="1" outlineLevel="1">
      <c r="B189" s="546" t="s">
        <v>335</v>
      </c>
      <c r="C189" s="391"/>
      <c r="D189" s="547">
        <f>IF(O207=0,0,1)</f>
        <v>0</v>
      </c>
      <c r="E189" s="30"/>
      <c r="F189" s="30"/>
      <c r="G189" s="30"/>
      <c r="H189" s="233"/>
      <c r="I189" s="548"/>
      <c r="J189" s="233"/>
      <c r="K189" s="233"/>
      <c r="L189" s="233"/>
      <c r="M189" s="233"/>
      <c r="N189" s="233"/>
      <c r="O189" s="67"/>
      <c r="P189" s="67"/>
    </row>
    <row r="190" spans="1:18" ht="17.600000000000001" customHeight="1" outlineLevel="1">
      <c r="B190" s="29"/>
      <c r="C190" s="26"/>
      <c r="D190" s="549"/>
      <c r="E190" s="30"/>
      <c r="F190" s="30"/>
      <c r="G190" s="30"/>
      <c r="H190" s="30"/>
      <c r="I190" s="30"/>
      <c r="J190" s="30"/>
      <c r="K190" s="63"/>
      <c r="L190" s="63"/>
      <c r="M190" s="63"/>
      <c r="N190" s="63"/>
      <c r="O190" s="63"/>
      <c r="P190" s="230"/>
    </row>
    <row r="191" spans="1:18" ht="17.600000000000001" customHeight="1" outlineLevel="1">
      <c r="B191" s="29"/>
      <c r="C191" s="26"/>
      <c r="D191" s="549"/>
      <c r="E191" s="30"/>
      <c r="F191" s="30"/>
      <c r="G191" s="30"/>
      <c r="H191" s="30"/>
      <c r="I191" s="30"/>
      <c r="J191" s="30"/>
      <c r="K191" s="63"/>
      <c r="L191" s="63"/>
      <c r="M191" s="63"/>
      <c r="N191" s="63"/>
      <c r="O191" s="63"/>
      <c r="P191" s="230"/>
    </row>
    <row r="192" spans="1:18" ht="17.600000000000001" customHeight="1" outlineLevel="1">
      <c r="B192" s="474" t="s">
        <v>336</v>
      </c>
      <c r="C192" s="26"/>
      <c r="D192" s="30"/>
      <c r="E192" s="30"/>
      <c r="F192" s="30"/>
      <c r="G192" s="30"/>
      <c r="H192" s="30"/>
      <c r="I192" s="30"/>
      <c r="J192" s="30"/>
      <c r="K192" s="63"/>
      <c r="L192" s="63"/>
      <c r="M192" s="63"/>
      <c r="N192" s="63"/>
      <c r="O192" s="63"/>
      <c r="P192" s="230"/>
    </row>
    <row r="193" spans="2:16" ht="17.600000000000001" customHeight="1" outlineLevel="1">
      <c r="B193" s="502" t="s">
        <v>272</v>
      </c>
      <c r="C193" s="26"/>
      <c r="D193" s="30"/>
      <c r="E193" s="30"/>
      <c r="F193" s="30"/>
      <c r="G193" s="30"/>
      <c r="H193" s="30"/>
      <c r="I193" s="30"/>
      <c r="J193" s="233"/>
      <c r="K193" s="233">
        <f>K185</f>
        <v>20177.233187500005</v>
      </c>
      <c r="L193" s="233">
        <f>L185</f>
        <v>27002.615325250008</v>
      </c>
      <c r="M193" s="233">
        <f>M185</f>
        <v>32469.431667160006</v>
      </c>
      <c r="N193" s="233">
        <f>N185</f>
        <v>49089.757200664018</v>
      </c>
      <c r="O193" s="233">
        <f>O185</f>
        <v>62370.171041733782</v>
      </c>
      <c r="P193" s="233"/>
    </row>
    <row r="194" spans="2:16" ht="17.600000000000001" customHeight="1" outlineLevel="1">
      <c r="B194" s="502" t="s">
        <v>337</v>
      </c>
      <c r="C194" s="26"/>
      <c r="D194" s="30"/>
      <c r="E194" s="30"/>
      <c r="F194" s="30"/>
      <c r="G194" s="30"/>
      <c r="H194" s="30"/>
      <c r="I194" s="30"/>
      <c r="J194" s="408"/>
      <c r="K194" s="233">
        <f>-K142</f>
        <v>1812.7689124999999</v>
      </c>
      <c r="L194" s="233">
        <f t="shared" ref="L194:O194" si="83">-L142</f>
        <v>2923.1016304999998</v>
      </c>
      <c r="M194" s="233">
        <f t="shared" si="83"/>
        <v>4333.3909062799994</v>
      </c>
      <c r="N194" s="233">
        <f t="shared" si="83"/>
        <v>5925.3428777359995</v>
      </c>
      <c r="O194" s="233">
        <f t="shared" si="83"/>
        <v>7607.1657806931198</v>
      </c>
      <c r="P194" s="233"/>
    </row>
    <row r="195" spans="2:16" ht="17.600000000000001" customHeight="1" outlineLevel="1">
      <c r="B195" s="502" t="s">
        <v>338</v>
      </c>
      <c r="C195" s="26"/>
      <c r="D195" s="30"/>
      <c r="E195" s="30"/>
      <c r="F195" s="30"/>
      <c r="G195" s="30"/>
      <c r="H195" s="30"/>
      <c r="I195" s="30"/>
      <c r="J195" s="408"/>
      <c r="K195" s="517">
        <f>K148</f>
        <v>-320.20417020000002</v>
      </c>
      <c r="L195" s="517">
        <f t="shared" ref="L195:O195" si="84">L148</f>
        <v>-1030.3022975519998</v>
      </c>
      <c r="M195" s="517">
        <f t="shared" si="84"/>
        <v>-1886.6037409507198</v>
      </c>
      <c r="N195" s="517">
        <f t="shared" si="84"/>
        <v>-2789.5684145869054</v>
      </c>
      <c r="O195" s="517">
        <f t="shared" si="84"/>
        <v>-3656.6981635913285</v>
      </c>
      <c r="P195" s="233"/>
    </row>
    <row r="196" spans="2:16" ht="17.600000000000001" customHeight="1" outlineLevel="1">
      <c r="B196" s="502" t="s">
        <v>339</v>
      </c>
      <c r="C196" s="26"/>
      <c r="D196" s="30"/>
      <c r="E196" s="30"/>
      <c r="F196" s="30"/>
      <c r="G196" s="30"/>
      <c r="H196" s="30"/>
      <c r="I196" s="30"/>
      <c r="J196" s="233"/>
      <c r="K196" s="233">
        <f>SUM(K193:K195)</f>
        <v>21669.797929800006</v>
      </c>
      <c r="L196" s="233">
        <f>SUM(L193:L195)</f>
        <v>28895.414658198009</v>
      </c>
      <c r="M196" s="233">
        <f>SUM(M193:M195)</f>
        <v>34916.218832489285</v>
      </c>
      <c r="N196" s="233">
        <f>SUM(N193:N195)</f>
        <v>52225.531663813119</v>
      </c>
      <c r="O196" s="233">
        <f>SUM(O193:O195)</f>
        <v>66320.638658835582</v>
      </c>
      <c r="P196" s="233"/>
    </row>
    <row r="197" spans="2:16" ht="17.600000000000001" customHeight="1" outlineLevel="1">
      <c r="B197" s="29"/>
      <c r="C197" s="26"/>
      <c r="D197" s="30"/>
      <c r="E197" s="30"/>
      <c r="F197" s="30"/>
      <c r="G197" s="30"/>
      <c r="H197" s="30"/>
      <c r="I197" s="30"/>
      <c r="J197" s="408"/>
      <c r="K197" s="233"/>
      <c r="L197" s="233"/>
      <c r="M197" s="233"/>
      <c r="N197" s="233"/>
      <c r="O197" s="233"/>
      <c r="P197" s="233"/>
    </row>
    <row r="198" spans="2:16" ht="17.600000000000001" customHeight="1" outlineLevel="1">
      <c r="B198" s="447" t="s">
        <v>470</v>
      </c>
      <c r="C198" s="26"/>
      <c r="D198" s="30"/>
      <c r="E198" s="30"/>
      <c r="F198" s="30"/>
      <c r="G198" s="30"/>
      <c r="H198" s="30"/>
      <c r="I198" s="30"/>
      <c r="J198" s="408"/>
      <c r="K198" s="233"/>
      <c r="L198" s="233"/>
      <c r="M198" s="233"/>
      <c r="N198" s="233"/>
      <c r="O198" s="233"/>
      <c r="P198" s="233"/>
    </row>
    <row r="199" spans="2:16" ht="17.600000000000001" customHeight="1" outlineLevel="1">
      <c r="B199" s="502" t="s">
        <v>339</v>
      </c>
      <c r="C199" s="26"/>
      <c r="D199" s="30"/>
      <c r="E199" s="30"/>
      <c r="F199" s="30"/>
      <c r="G199" s="30"/>
      <c r="H199" s="30"/>
      <c r="I199" s="30"/>
      <c r="J199" s="233"/>
      <c r="K199" s="233">
        <f>K196</f>
        <v>21669.797929800006</v>
      </c>
      <c r="L199" s="233">
        <f>L196</f>
        <v>28895.414658198009</v>
      </c>
      <c r="M199" s="233">
        <f>M196</f>
        <v>34916.218832489285</v>
      </c>
      <c r="N199" s="233">
        <f>N196</f>
        <v>52225.531663813119</v>
      </c>
      <c r="O199" s="233">
        <f>O196</f>
        <v>66320.638658835582</v>
      </c>
      <c r="P199" s="233"/>
    </row>
    <row r="200" spans="2:16" ht="17.600000000000001" customHeight="1" outlineLevel="1">
      <c r="B200" s="550" t="s">
        <v>471</v>
      </c>
      <c r="C200" s="26"/>
      <c r="D200" s="30"/>
      <c r="E200" s="30"/>
      <c r="F200" s="30"/>
      <c r="G200" s="30"/>
      <c r="H200" s="30"/>
      <c r="I200" s="30"/>
      <c r="J200" s="408"/>
      <c r="K200" s="517">
        <f>K206</f>
        <v>-21669.797929800006</v>
      </c>
      <c r="L200" s="517">
        <f>L206</f>
        <v>-2458.2020701999936</v>
      </c>
      <c r="M200" s="517">
        <f>M206</f>
        <v>0</v>
      </c>
      <c r="N200" s="517">
        <f>N206</f>
        <v>0</v>
      </c>
      <c r="O200" s="517">
        <f>O206</f>
        <v>0</v>
      </c>
      <c r="P200" s="233"/>
    </row>
    <row r="201" spans="2:16" ht="17.600000000000001" customHeight="1" outlineLevel="1">
      <c r="B201" s="502" t="s">
        <v>340</v>
      </c>
      <c r="C201" s="26"/>
      <c r="D201" s="30"/>
      <c r="E201" s="30"/>
      <c r="F201" s="30"/>
      <c r="G201" s="30"/>
      <c r="H201" s="30"/>
      <c r="I201" s="30"/>
      <c r="J201" s="408"/>
      <c r="K201" s="233">
        <f xml:space="preserve"> MAX(SUM(K199:K200),0)</f>
        <v>0</v>
      </c>
      <c r="L201" s="233">
        <f xml:space="preserve"> MAX(SUM(L199:L200),0)</f>
        <v>26437.212587998016</v>
      </c>
      <c r="M201" s="233">
        <f xml:space="preserve"> MAX(SUM(M199:M200),0)</f>
        <v>34916.218832489285</v>
      </c>
      <c r="N201" s="233">
        <f xml:space="preserve"> MAX(SUM(N199:N200),0)</f>
        <v>52225.531663813119</v>
      </c>
      <c r="O201" s="233">
        <f xml:space="preserve"> MAX(SUM(O199:O200),0)</f>
        <v>66320.638658835582</v>
      </c>
      <c r="P201" s="233"/>
    </row>
    <row r="202" spans="2:16" ht="17.600000000000001" customHeight="1" outlineLevel="1">
      <c r="B202" s="29"/>
      <c r="C202" s="26"/>
      <c r="D202" s="30"/>
      <c r="E202" s="30"/>
      <c r="F202" s="30"/>
      <c r="G202" s="30"/>
      <c r="H202" s="30"/>
      <c r="I202" s="30"/>
      <c r="J202" s="408"/>
      <c r="K202" s="408"/>
      <c r="L202" s="408"/>
      <c r="M202" s="408"/>
      <c r="N202" s="408"/>
      <c r="O202" s="408"/>
      <c r="P202" s="408"/>
    </row>
    <row r="203" spans="2:16" ht="17.600000000000001" customHeight="1" outlineLevel="1">
      <c r="B203" s="447" t="s">
        <v>341</v>
      </c>
      <c r="C203" s="26"/>
      <c r="D203" s="30"/>
      <c r="E203" s="30"/>
      <c r="F203" s="30"/>
      <c r="G203" s="30"/>
      <c r="H203" s="30"/>
      <c r="I203" s="30"/>
      <c r="J203" s="408"/>
      <c r="K203" s="408"/>
      <c r="L203" s="408"/>
      <c r="M203" s="408"/>
      <c r="N203" s="408"/>
      <c r="O203" s="408"/>
      <c r="P203" s="408"/>
    </row>
    <row r="204" spans="2:16" ht="17.600000000000001" customHeight="1" outlineLevel="1">
      <c r="B204" s="502" t="s">
        <v>321</v>
      </c>
      <c r="C204" s="26"/>
      <c r="D204" s="30"/>
      <c r="E204" s="30"/>
      <c r="F204" s="30"/>
      <c r="G204" s="30"/>
      <c r="H204" s="30"/>
      <c r="I204" s="30"/>
      <c r="J204" s="408"/>
      <c r="K204" s="233">
        <f>J207</f>
        <v>24128</v>
      </c>
      <c r="L204" s="233">
        <f>K207</f>
        <v>2458.2020701999936</v>
      </c>
      <c r="M204" s="233">
        <f>L207</f>
        <v>0</v>
      </c>
      <c r="N204" s="233">
        <f>M207</f>
        <v>0</v>
      </c>
      <c r="O204" s="233">
        <f>N207</f>
        <v>0</v>
      </c>
      <c r="P204" s="233"/>
    </row>
    <row r="205" spans="2:16" ht="17.600000000000001" customHeight="1" outlineLevel="1">
      <c r="B205" s="502" t="s">
        <v>342</v>
      </c>
      <c r="C205" s="26"/>
      <c r="D205" s="30"/>
      <c r="E205" s="30"/>
      <c r="F205" s="30"/>
      <c r="G205" s="30"/>
      <c r="H205" s="30"/>
      <c r="I205" s="30"/>
      <c r="J205" s="408"/>
      <c r="K205" s="233">
        <f>-MIN(K193,0)</f>
        <v>0</v>
      </c>
      <c r="L205" s="233">
        <f>-MIN(L193,0)</f>
        <v>0</v>
      </c>
      <c r="M205" s="233">
        <f>-MIN(M193,0)</f>
        <v>0</v>
      </c>
      <c r="N205" s="233">
        <f>-MIN(N193,0)</f>
        <v>0</v>
      </c>
      <c r="O205" s="233">
        <f>-MIN(O193,0)</f>
        <v>0</v>
      </c>
      <c r="P205" s="233"/>
    </row>
    <row r="206" spans="2:16" ht="17.600000000000001" customHeight="1" outlineLevel="1">
      <c r="B206" s="550" t="s">
        <v>343</v>
      </c>
      <c r="C206" s="26"/>
      <c r="D206" s="30"/>
      <c r="E206" s="30"/>
      <c r="F206" s="30"/>
      <c r="G206" s="30"/>
      <c r="H206" s="30"/>
      <c r="I206" s="30"/>
      <c r="J206" s="551"/>
      <c r="K206" s="517">
        <f>-MIN(K204,K199)*K186</f>
        <v>-21669.797929800006</v>
      </c>
      <c r="L206" s="517">
        <f>-MIN(L204,L199)*L186</f>
        <v>-2458.2020701999936</v>
      </c>
      <c r="M206" s="517">
        <f>-MIN(M204,M199)*M186</f>
        <v>0</v>
      </c>
      <c r="N206" s="517">
        <f>-MIN(N204,N199)*N186</f>
        <v>0</v>
      </c>
      <c r="O206" s="517">
        <f>-MIN(O204,O199)*O186</f>
        <v>0</v>
      </c>
      <c r="P206" s="233"/>
    </row>
    <row r="207" spans="2:16" ht="17.600000000000001" customHeight="1" outlineLevel="1">
      <c r="B207" s="502" t="s">
        <v>323</v>
      </c>
      <c r="C207" s="26"/>
      <c r="D207" s="30"/>
      <c r="E207" s="30"/>
      <c r="F207" s="30"/>
      <c r="G207" s="30"/>
      <c r="H207" s="30"/>
      <c r="I207" s="30"/>
      <c r="J207" s="397">
        <f>[2]Inputs!$L$97</f>
        <v>24128</v>
      </c>
      <c r="K207" s="233">
        <f>SUM(K204:K206)</f>
        <v>2458.2020701999936</v>
      </c>
      <c r="L207" s="233">
        <f>SUM(L204:L206)</f>
        <v>0</v>
      </c>
      <c r="M207" s="233">
        <f>SUM(M204:M206)</f>
        <v>0</v>
      </c>
      <c r="N207" s="233">
        <f>SUM(N204:N206)</f>
        <v>0</v>
      </c>
      <c r="O207" s="233">
        <f>SUM(O204:O206)</f>
        <v>0</v>
      </c>
      <c r="P207" s="233"/>
    </row>
    <row r="208" spans="2:16" ht="17.600000000000001" customHeight="1" outlineLevel="1">
      <c r="B208" s="29"/>
      <c r="C208" s="26"/>
      <c r="D208" s="30"/>
      <c r="E208" s="30"/>
      <c r="F208" s="30"/>
      <c r="G208" s="30"/>
      <c r="H208" s="30"/>
      <c r="I208" s="30"/>
      <c r="J208" s="408"/>
      <c r="K208" s="408"/>
      <c r="L208" s="408"/>
      <c r="M208" s="408"/>
      <c r="N208" s="408"/>
      <c r="O208" s="408"/>
      <c r="P208" s="408"/>
    </row>
    <row r="209" spans="1:16" ht="17.600000000000001" customHeight="1" outlineLevel="1">
      <c r="B209" s="552"/>
      <c r="C209" s="553"/>
      <c r="D209" s="554"/>
      <c r="E209" s="554"/>
      <c r="F209" s="554"/>
      <c r="G209" s="554"/>
      <c r="H209" s="554"/>
      <c r="I209" s="554"/>
      <c r="J209" s="555"/>
      <c r="K209" s="555"/>
      <c r="L209" s="555"/>
      <c r="M209" s="555"/>
      <c r="N209" s="555"/>
      <c r="O209" s="555"/>
      <c r="P209" s="556"/>
    </row>
    <row r="210" spans="1:16" ht="17.600000000000001" customHeight="1" outlineLevel="1">
      <c r="B210" s="29"/>
      <c r="C210" s="26"/>
      <c r="D210" s="30"/>
      <c r="E210" s="30"/>
      <c r="F210" s="30"/>
      <c r="G210" s="30"/>
      <c r="H210" s="30"/>
      <c r="I210" s="30"/>
      <c r="J210" s="408"/>
      <c r="K210" s="408"/>
      <c r="L210" s="408"/>
      <c r="M210" s="408"/>
      <c r="N210" s="408"/>
      <c r="O210" s="408"/>
      <c r="P210" s="408"/>
    </row>
    <row r="211" spans="1:16" ht="17.600000000000001" customHeight="1" outlineLevel="1">
      <c r="B211" s="474" t="s">
        <v>344</v>
      </c>
      <c r="C211" s="26"/>
      <c r="D211" s="30"/>
      <c r="E211" s="30"/>
      <c r="F211" s="30"/>
      <c r="G211" s="30"/>
      <c r="H211" s="30"/>
      <c r="I211" s="30"/>
      <c r="J211" s="408"/>
      <c r="K211" s="408"/>
      <c r="L211" s="408"/>
      <c r="M211" s="408"/>
      <c r="N211" s="408"/>
      <c r="O211" s="408"/>
      <c r="P211" s="408"/>
    </row>
    <row r="212" spans="1:16" ht="17.600000000000001" customHeight="1" outlineLevel="1">
      <c r="B212" s="502" t="s">
        <v>345</v>
      </c>
      <c r="C212" s="26"/>
      <c r="D212" s="30"/>
      <c r="E212" s="30"/>
      <c r="F212" s="30"/>
      <c r="G212" s="30"/>
      <c r="H212" s="363"/>
      <c r="I212" s="363"/>
      <c r="J212" s="233"/>
      <c r="K212" s="233">
        <f>$D$188*K201</f>
        <v>0</v>
      </c>
      <c r="L212" s="233">
        <f t="shared" ref="L212:O212" si="85">$D$188*L201</f>
        <v>3304.651573499752</v>
      </c>
      <c r="M212" s="233">
        <f t="shared" si="85"/>
        <v>4364.5273540611606</v>
      </c>
      <c r="N212" s="233">
        <f t="shared" si="85"/>
        <v>6528.1914579766399</v>
      </c>
      <c r="O212" s="233">
        <f t="shared" si="85"/>
        <v>8290.0798323544477</v>
      </c>
      <c r="P212" s="233"/>
    </row>
    <row r="213" spans="1:16" ht="17.600000000000001" customHeight="1" outlineLevel="1">
      <c r="B213" s="502" t="s">
        <v>346</v>
      </c>
      <c r="C213" s="26"/>
      <c r="D213" s="30"/>
      <c r="E213" s="30"/>
      <c r="F213" s="30"/>
      <c r="G213" s="30"/>
      <c r="H213" s="30"/>
      <c r="I213" s="30"/>
      <c r="J213" s="408"/>
      <c r="K213" s="233">
        <f>K214-K212</f>
        <v>2522.1541484375007</v>
      </c>
      <c r="L213" s="233">
        <f>L214-L212</f>
        <v>70.675342156499028</v>
      </c>
      <c r="M213" s="233">
        <f>M214-M212</f>
        <v>-305.84839566615983</v>
      </c>
      <c r="N213" s="233">
        <f>N214-N212</f>
        <v>-391.97180789363756</v>
      </c>
      <c r="O213" s="233">
        <f>O214-O212</f>
        <v>-493.808452137725</v>
      </c>
      <c r="P213" s="233"/>
    </row>
    <row r="214" spans="1:16" ht="17.600000000000001" customHeight="1" outlineLevel="1" thickBot="1">
      <c r="B214" s="502" t="s">
        <v>347</v>
      </c>
      <c r="C214" s="26"/>
      <c r="D214" s="30"/>
      <c r="E214" s="30"/>
      <c r="F214" s="30"/>
      <c r="G214" s="30"/>
      <c r="H214" s="30"/>
      <c r="I214" s="30"/>
      <c r="J214" s="408"/>
      <c r="K214" s="503">
        <f>MAX($D$188*K193,0)</f>
        <v>2522.1541484375007</v>
      </c>
      <c r="L214" s="503">
        <f t="shared" ref="L214:O214" si="86">MAX($D$188*L193,0)</f>
        <v>3375.326915656251</v>
      </c>
      <c r="M214" s="503">
        <f t="shared" si="86"/>
        <v>4058.6789583950008</v>
      </c>
      <c r="N214" s="503">
        <f t="shared" si="86"/>
        <v>6136.2196500830023</v>
      </c>
      <c r="O214" s="503">
        <f t="shared" si="86"/>
        <v>7796.2713802167227</v>
      </c>
      <c r="P214" s="233"/>
    </row>
    <row r="215" spans="1:16" ht="17.600000000000001" customHeight="1" outlineLevel="1">
      <c r="B215" s="466"/>
      <c r="C215" s="391"/>
      <c r="D215" s="393"/>
      <c r="E215" s="393"/>
      <c r="F215" s="393"/>
      <c r="G215" s="393"/>
      <c r="H215" s="393"/>
      <c r="I215" s="467"/>
      <c r="J215" s="467"/>
      <c r="K215" s="467"/>
      <c r="L215" s="467"/>
      <c r="M215" s="467"/>
      <c r="N215" s="467"/>
      <c r="O215" s="1"/>
      <c r="P215" s="1"/>
    </row>
    <row r="216" spans="1:16" ht="17.600000000000001" customHeight="1">
      <c r="B216" s="29"/>
      <c r="C216" s="26"/>
      <c r="D216" s="30"/>
      <c r="E216" s="30"/>
      <c r="F216" s="30"/>
      <c r="G216" s="30"/>
      <c r="H216" s="30"/>
      <c r="I216" s="63"/>
      <c r="J216" s="63"/>
      <c r="K216" s="63"/>
      <c r="L216" s="63"/>
      <c r="M216" s="63"/>
      <c r="N216" s="63"/>
      <c r="O216" s="1"/>
      <c r="P216" s="1"/>
    </row>
    <row r="217" spans="1:16" ht="17.600000000000001" customHeight="1">
      <c r="A217" s="161" t="s">
        <v>132</v>
      </c>
      <c r="B217" s="21" t="s">
        <v>348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</row>
    <row r="218" spans="1:16" ht="17.600000000000001" customHeight="1" outlineLevel="1">
      <c r="B218" s="25"/>
      <c r="C218" s="26"/>
      <c r="D218" s="27"/>
      <c r="E218" s="27"/>
      <c r="F218" s="28"/>
      <c r="G218" s="28"/>
      <c r="H218" s="28"/>
      <c r="I218" s="28"/>
      <c r="J218" s="28"/>
      <c r="K218" s="28"/>
      <c r="L218" s="28"/>
      <c r="M218" s="28"/>
      <c r="N218" s="230"/>
      <c r="O218" s="1"/>
      <c r="P218" s="1"/>
    </row>
    <row r="219" spans="1:16" ht="17.600000000000001" customHeight="1" outlineLevel="1" thickBot="1">
      <c r="B219" s="29" t="s">
        <v>6</v>
      </c>
      <c r="C219" s="26"/>
      <c r="D219" s="30"/>
      <c r="E219" s="30"/>
      <c r="F219" s="30"/>
      <c r="G219" s="30"/>
      <c r="H219" s="30"/>
      <c r="I219" s="30"/>
      <c r="J219" s="30"/>
      <c r="K219" s="539" t="str">
        <f t="shared" ref="K219:O219" si="87">K$5</f>
        <v>2026F</v>
      </c>
      <c r="L219" s="539" t="str">
        <f t="shared" si="87"/>
        <v>2027F</v>
      </c>
      <c r="M219" s="539" t="str">
        <f t="shared" si="87"/>
        <v>2028F</v>
      </c>
      <c r="N219" s="539" t="str">
        <f t="shared" si="87"/>
        <v>2029F</v>
      </c>
      <c r="O219" s="539" t="str">
        <f t="shared" si="87"/>
        <v>2030F</v>
      </c>
      <c r="P219" s="1"/>
    </row>
    <row r="220" spans="1:16" ht="17.600000000000001" customHeight="1" outlineLevel="1">
      <c r="B220" s="29" t="str">
        <f>$B$6</f>
        <v>Model Running: Base Case Drivers</v>
      </c>
      <c r="C220" s="26"/>
      <c r="D220" s="30"/>
      <c r="E220" s="30"/>
      <c r="F220" s="30"/>
      <c r="G220" s="30"/>
      <c r="H220" s="30"/>
      <c r="I220" s="63"/>
      <c r="J220" s="63"/>
      <c r="K220" s="63"/>
      <c r="L220" s="63"/>
      <c r="M220" s="63"/>
      <c r="N220" s="63"/>
      <c r="O220" s="1"/>
      <c r="P220" s="1"/>
    </row>
    <row r="221" spans="1:16" ht="17.600000000000001" customHeight="1" outlineLevel="1">
      <c r="B221" s="29"/>
      <c r="C221" s="26"/>
      <c r="D221" s="30"/>
      <c r="E221" s="30"/>
      <c r="F221" s="30"/>
      <c r="G221" s="30"/>
      <c r="H221" s="30"/>
      <c r="I221" s="63"/>
      <c r="J221" s="63"/>
      <c r="K221" s="63"/>
      <c r="L221" s="63"/>
      <c r="M221" s="63"/>
      <c r="N221" s="230"/>
      <c r="O221" s="1"/>
      <c r="P221" s="1"/>
    </row>
    <row r="222" spans="1:16" ht="17.600000000000001" customHeight="1" outlineLevel="1">
      <c r="B222" s="9" t="s">
        <v>349</v>
      </c>
      <c r="C222" s="26"/>
      <c r="D222" s="30"/>
      <c r="E222" s="30"/>
      <c r="F222" s="30"/>
      <c r="G222" s="30"/>
      <c r="H222" s="363"/>
      <c r="I222" s="363"/>
      <c r="J222" s="233"/>
      <c r="K222" s="379">
        <f>K55</f>
        <v>21007.044587500004</v>
      </c>
      <c r="L222" s="380">
        <f>L55</f>
        <v>28243.774093000007</v>
      </c>
      <c r="M222" s="380">
        <f>M55</f>
        <v>34112.414817760007</v>
      </c>
      <c r="N222" s="380">
        <f>N55</f>
        <v>50923.593869944016</v>
      </c>
      <c r="O222" s="540">
        <f>O55</f>
        <v>64346.931968920981</v>
      </c>
      <c r="P222" s="233"/>
    </row>
    <row r="223" spans="1:16" ht="17.600000000000001" customHeight="1" outlineLevel="1">
      <c r="B223" s="9" t="s">
        <v>334</v>
      </c>
      <c r="C223" s="26"/>
      <c r="D223" s="30"/>
      <c r="E223" s="30"/>
      <c r="F223" s="30"/>
      <c r="G223" s="30"/>
      <c r="H223" s="30"/>
      <c r="I223" s="30"/>
      <c r="J223" s="30"/>
      <c r="K223" s="541">
        <f>IF(K233&gt;0,1,0)</f>
        <v>1</v>
      </c>
      <c r="L223" s="542">
        <f>IF(L233&gt;0,1,0)</f>
        <v>1</v>
      </c>
      <c r="M223" s="542">
        <f>IF(M233&gt;0,1,0)</f>
        <v>1</v>
      </c>
      <c r="N223" s="542">
        <f>IF(N233&gt;0,1,0)</f>
        <v>1</v>
      </c>
      <c r="O223" s="543">
        <f>IF(O233&gt;0,1,0)</f>
        <v>1</v>
      </c>
      <c r="P223" s="557"/>
    </row>
    <row r="224" spans="1:16" ht="17.600000000000001" customHeight="1" outlineLevel="1">
      <c r="B224" s="29"/>
      <c r="C224" s="26"/>
      <c r="D224" s="30"/>
      <c r="E224" s="30"/>
      <c r="F224" s="30"/>
      <c r="G224" s="30"/>
      <c r="H224" s="30"/>
      <c r="I224" s="30"/>
      <c r="J224" s="30"/>
      <c r="K224" s="63"/>
      <c r="L224" s="63"/>
      <c r="M224" s="63"/>
      <c r="N224" s="63"/>
      <c r="O224" s="63"/>
      <c r="P224" s="230"/>
    </row>
    <row r="225" spans="2:16" ht="17.600000000000001" customHeight="1" outlineLevel="1">
      <c r="B225" s="509" t="s">
        <v>92</v>
      </c>
      <c r="C225" s="544"/>
      <c r="D225" s="545">
        <f>Inputs!L79</f>
        <v>0.125</v>
      </c>
      <c r="E225" s="30"/>
      <c r="F225" s="30"/>
      <c r="G225" s="30"/>
      <c r="H225" s="30"/>
      <c r="I225" s="30"/>
      <c r="J225" s="30"/>
      <c r="K225" s="63"/>
      <c r="L225" s="63"/>
      <c r="M225" s="63"/>
      <c r="N225" s="63"/>
      <c r="O225" s="63"/>
      <c r="P225" s="230"/>
    </row>
    <row r="226" spans="2:16" ht="17.600000000000001" customHeight="1" outlineLevel="1">
      <c r="B226" s="546" t="s">
        <v>335</v>
      </c>
      <c r="C226" s="391"/>
      <c r="D226" s="547">
        <f>IF(O244=0,0,1)</f>
        <v>0</v>
      </c>
      <c r="E226" s="30"/>
      <c r="F226" s="30"/>
      <c r="G226" s="30"/>
      <c r="H226" s="233"/>
      <c r="I226" s="233"/>
      <c r="J226" s="233"/>
      <c r="K226" s="233"/>
      <c r="L226" s="233"/>
      <c r="M226" s="233"/>
      <c r="N226" s="233"/>
      <c r="O226" s="67"/>
      <c r="P226" s="67"/>
    </row>
    <row r="227" spans="2:16" ht="17.600000000000001" customHeight="1" outlineLevel="1">
      <c r="B227" s="29"/>
      <c r="C227" s="26"/>
      <c r="D227" s="549"/>
      <c r="E227" s="30"/>
      <c r="F227" s="30"/>
      <c r="G227" s="30"/>
      <c r="H227" s="30"/>
      <c r="I227" s="30"/>
      <c r="J227" s="30"/>
      <c r="K227" s="63"/>
      <c r="L227" s="63"/>
      <c r="M227" s="63"/>
      <c r="N227" s="63"/>
      <c r="O227" s="63"/>
      <c r="P227" s="230"/>
    </row>
    <row r="228" spans="2:16" ht="17.600000000000001" customHeight="1" outlineLevel="1">
      <c r="B228" s="29"/>
      <c r="C228" s="26"/>
      <c r="D228" s="549"/>
      <c r="E228" s="30"/>
      <c r="F228" s="30"/>
      <c r="G228" s="30"/>
      <c r="H228" s="30"/>
      <c r="I228" s="30"/>
      <c r="J228" s="30"/>
      <c r="K228" s="63"/>
      <c r="L228" s="63"/>
      <c r="M228" s="63"/>
      <c r="N228" s="63"/>
      <c r="O228" s="63"/>
      <c r="P228" s="230"/>
    </row>
    <row r="229" spans="2:16" ht="17.600000000000001" customHeight="1" outlineLevel="1">
      <c r="B229" s="474" t="s">
        <v>336</v>
      </c>
      <c r="C229" s="26"/>
      <c r="D229" s="30"/>
      <c r="E229" s="30"/>
      <c r="F229" s="30"/>
      <c r="G229" s="30"/>
      <c r="H229" s="30"/>
      <c r="I229" s="30"/>
      <c r="J229" s="408"/>
      <c r="K229" s="408"/>
      <c r="L229" s="408"/>
      <c r="M229" s="408"/>
      <c r="N229" s="408"/>
      <c r="O229" s="408"/>
      <c r="P229" s="230"/>
    </row>
    <row r="230" spans="2:16" ht="17.600000000000001" customHeight="1" outlineLevel="1">
      <c r="B230" s="502" t="s">
        <v>1</v>
      </c>
      <c r="C230" s="26"/>
      <c r="D230" s="30"/>
      <c r="E230" s="30"/>
      <c r="F230" s="30"/>
      <c r="G230" s="30"/>
      <c r="H230" s="363"/>
      <c r="I230" s="363"/>
      <c r="J230" s="233"/>
      <c r="K230" s="233">
        <f>K222</f>
        <v>21007.044587500004</v>
      </c>
      <c r="L230" s="233">
        <f>L222</f>
        <v>28243.774093000007</v>
      </c>
      <c r="M230" s="233">
        <f>M222</f>
        <v>34112.414817760007</v>
      </c>
      <c r="N230" s="233">
        <f>N222</f>
        <v>50923.593869944016</v>
      </c>
      <c r="O230" s="233">
        <f>O222</f>
        <v>64346.931968920981</v>
      </c>
      <c r="P230" s="233"/>
    </row>
    <row r="231" spans="2:16" ht="17.600000000000001" customHeight="1" outlineLevel="1">
      <c r="B231" s="502" t="s">
        <v>337</v>
      </c>
      <c r="C231" s="26"/>
      <c r="D231" s="30"/>
      <c r="E231" s="30"/>
      <c r="F231" s="30"/>
      <c r="G231" s="30"/>
      <c r="H231" s="30"/>
      <c r="I231" s="30"/>
      <c r="J231" s="408"/>
      <c r="K231" s="233">
        <f>-K142</f>
        <v>1812.7689124999999</v>
      </c>
      <c r="L231" s="233">
        <f t="shared" ref="L231:O231" si="88">-L142</f>
        <v>2923.1016304999998</v>
      </c>
      <c r="M231" s="233">
        <f t="shared" si="88"/>
        <v>4333.3909062799994</v>
      </c>
      <c r="N231" s="233">
        <f t="shared" si="88"/>
        <v>5925.3428777359995</v>
      </c>
      <c r="O231" s="233">
        <f t="shared" si="88"/>
        <v>7607.1657806931198</v>
      </c>
      <c r="P231" s="233"/>
    </row>
    <row r="232" spans="2:16" ht="17.600000000000001" customHeight="1" outlineLevel="1">
      <c r="B232" s="502" t="s">
        <v>338</v>
      </c>
      <c r="C232" s="26"/>
      <c r="D232" s="30"/>
      <c r="E232" s="30"/>
      <c r="F232" s="30"/>
      <c r="G232" s="30"/>
      <c r="H232" s="30"/>
      <c r="I232" s="30"/>
      <c r="J232" s="408"/>
      <c r="K232" s="517">
        <f>K148</f>
        <v>-320.20417020000002</v>
      </c>
      <c r="L232" s="517">
        <f t="shared" ref="L232:O232" si="89">L148</f>
        <v>-1030.3022975519998</v>
      </c>
      <c r="M232" s="517">
        <f t="shared" si="89"/>
        <v>-1886.6037409507198</v>
      </c>
      <c r="N232" s="517">
        <f t="shared" si="89"/>
        <v>-2789.5684145869054</v>
      </c>
      <c r="O232" s="517">
        <f t="shared" si="89"/>
        <v>-3656.6981635913285</v>
      </c>
      <c r="P232" s="233"/>
    </row>
    <row r="233" spans="2:16" ht="17.600000000000001" customHeight="1" outlineLevel="1">
      <c r="B233" s="502" t="s">
        <v>350</v>
      </c>
      <c r="C233" s="26"/>
      <c r="D233" s="30"/>
      <c r="E233" s="30"/>
      <c r="F233" s="30"/>
      <c r="G233" s="30"/>
      <c r="H233" s="363"/>
      <c r="I233" s="363"/>
      <c r="J233" s="233"/>
      <c r="K233" s="233">
        <f>SUM(K230:K232)</f>
        <v>22499.609329800005</v>
      </c>
      <c r="L233" s="233">
        <f>SUM(L230:L232)</f>
        <v>30136.573425948009</v>
      </c>
      <c r="M233" s="233">
        <f>SUM(M230:M232)</f>
        <v>36559.20198308929</v>
      </c>
      <c r="N233" s="233">
        <f>SUM(N230:N232)</f>
        <v>54059.368333093109</v>
      </c>
      <c r="O233" s="233">
        <f>SUM(O230:O232)</f>
        <v>68297.399586022773</v>
      </c>
      <c r="P233" s="233"/>
    </row>
    <row r="234" spans="2:16" ht="17.600000000000001" customHeight="1" outlineLevel="1">
      <c r="B234" s="29"/>
      <c r="C234" s="26"/>
      <c r="D234" s="30"/>
      <c r="E234" s="30"/>
      <c r="F234" s="30"/>
      <c r="G234" s="30"/>
      <c r="H234" s="30"/>
      <c r="I234" s="30"/>
      <c r="J234" s="408"/>
      <c r="K234" s="233"/>
      <c r="L234" s="233"/>
      <c r="M234" s="233"/>
      <c r="N234" s="233"/>
      <c r="O234" s="233"/>
      <c r="P234" s="233"/>
    </row>
    <row r="235" spans="2:16" ht="17.600000000000001" customHeight="1" outlineLevel="1">
      <c r="B235" s="447" t="s">
        <v>470</v>
      </c>
      <c r="C235" s="26"/>
      <c r="D235" s="30"/>
      <c r="E235" s="30"/>
      <c r="F235" s="30"/>
      <c r="G235" s="30"/>
      <c r="H235" s="30"/>
      <c r="I235" s="30"/>
      <c r="J235" s="408"/>
      <c r="K235" s="233"/>
      <c r="L235" s="233"/>
      <c r="M235" s="233"/>
      <c r="N235" s="233"/>
      <c r="O235" s="233"/>
      <c r="P235" s="233"/>
    </row>
    <row r="236" spans="2:16" ht="17.600000000000001" customHeight="1" outlineLevel="1">
      <c r="B236" s="502" t="s">
        <v>350</v>
      </c>
      <c r="C236" s="26"/>
      <c r="D236" s="30"/>
      <c r="E236" s="30"/>
      <c r="F236" s="30"/>
      <c r="G236" s="30"/>
      <c r="H236" s="363"/>
      <c r="I236" s="363"/>
      <c r="J236" s="233"/>
      <c r="K236" s="233">
        <f>K233</f>
        <v>22499.609329800005</v>
      </c>
      <c r="L236" s="233">
        <f>L233</f>
        <v>30136.573425948009</v>
      </c>
      <c r="M236" s="233">
        <f>M233</f>
        <v>36559.20198308929</v>
      </c>
      <c r="N236" s="233">
        <f>N233</f>
        <v>54059.368333093109</v>
      </c>
      <c r="O236" s="233">
        <f>O233</f>
        <v>68297.399586022773</v>
      </c>
      <c r="P236" s="233"/>
    </row>
    <row r="237" spans="2:16" ht="17.600000000000001" customHeight="1" outlineLevel="1">
      <c r="B237" s="550" t="s">
        <v>471</v>
      </c>
      <c r="C237" s="26"/>
      <c r="D237" s="30"/>
      <c r="E237" s="30"/>
      <c r="F237" s="30"/>
      <c r="G237" s="30"/>
      <c r="H237" s="30"/>
      <c r="I237" s="30"/>
      <c r="J237" s="408"/>
      <c r="K237" s="517">
        <f>K243</f>
        <v>-22499.609329800005</v>
      </c>
      <c r="L237" s="517">
        <f>L243</f>
        <v>-1628.3906701999949</v>
      </c>
      <c r="M237" s="517">
        <f>M243</f>
        <v>0</v>
      </c>
      <c r="N237" s="517">
        <f>N243</f>
        <v>0</v>
      </c>
      <c r="O237" s="517">
        <f>O243</f>
        <v>0</v>
      </c>
      <c r="P237" s="233"/>
    </row>
    <row r="238" spans="2:16" ht="17.600000000000001" customHeight="1" outlineLevel="1">
      <c r="B238" s="502" t="s">
        <v>340</v>
      </c>
      <c r="C238" s="26"/>
      <c r="D238" s="30"/>
      <c r="E238" s="30"/>
      <c r="F238" s="30"/>
      <c r="G238" s="30"/>
      <c r="H238" s="30"/>
      <c r="I238" s="30"/>
      <c r="J238" s="408"/>
      <c r="K238" s="233">
        <f xml:space="preserve"> MAX(SUM(K236:K237),0)</f>
        <v>0</v>
      </c>
      <c r="L238" s="233">
        <f xml:space="preserve"> MAX(SUM(L236:L237),0)</f>
        <v>28508.182755748014</v>
      </c>
      <c r="M238" s="233">
        <f xml:space="preserve"> MAX(SUM(M236:M237),0)</f>
        <v>36559.20198308929</v>
      </c>
      <c r="N238" s="233">
        <f xml:space="preserve"> MAX(SUM(N236:N237),0)</f>
        <v>54059.368333093109</v>
      </c>
      <c r="O238" s="233">
        <f xml:space="preserve"> MAX(SUM(O236:O237),0)</f>
        <v>68297.399586022773</v>
      </c>
      <c r="P238" s="233"/>
    </row>
    <row r="239" spans="2:16" ht="17.600000000000001" customHeight="1" outlineLevel="1">
      <c r="B239" s="29"/>
      <c r="C239" s="26"/>
      <c r="D239" s="30"/>
      <c r="E239" s="30"/>
      <c r="F239" s="30"/>
      <c r="G239" s="30"/>
      <c r="H239" s="30"/>
      <c r="I239" s="30"/>
      <c r="J239" s="408"/>
      <c r="K239" s="408"/>
      <c r="L239" s="408"/>
      <c r="M239" s="408"/>
      <c r="N239" s="408"/>
      <c r="O239" s="408"/>
      <c r="P239" s="408"/>
    </row>
    <row r="240" spans="2:16" ht="17.600000000000001" customHeight="1" outlineLevel="1">
      <c r="B240" s="474" t="s">
        <v>341</v>
      </c>
      <c r="C240" s="26"/>
      <c r="D240" s="30"/>
      <c r="E240" s="30"/>
      <c r="F240" s="30"/>
      <c r="G240" s="30"/>
      <c r="H240" s="30"/>
      <c r="I240" s="30"/>
      <c r="J240" s="408"/>
      <c r="K240" s="408"/>
      <c r="L240" s="408"/>
      <c r="M240" s="408"/>
      <c r="N240" s="408"/>
      <c r="O240" s="408"/>
      <c r="P240" s="408"/>
    </row>
    <row r="241" spans="1:16" ht="17.600000000000001" customHeight="1" outlineLevel="1">
      <c r="B241" s="502" t="s">
        <v>321</v>
      </c>
      <c r="C241" s="26"/>
      <c r="D241" s="30"/>
      <c r="E241" s="30"/>
      <c r="F241" s="30"/>
      <c r="G241" s="30"/>
      <c r="H241" s="30"/>
      <c r="I241" s="30"/>
      <c r="J241" s="408"/>
      <c r="K241" s="233">
        <f>J244</f>
        <v>24128</v>
      </c>
      <c r="L241" s="233">
        <f>K244</f>
        <v>1628.3906701999949</v>
      </c>
      <c r="M241" s="233">
        <f>L244</f>
        <v>0</v>
      </c>
      <c r="N241" s="233">
        <f>M244</f>
        <v>0</v>
      </c>
      <c r="O241" s="233">
        <f>N244</f>
        <v>0</v>
      </c>
      <c r="P241" s="233"/>
    </row>
    <row r="242" spans="1:16" ht="17.600000000000001" customHeight="1" outlineLevel="1">
      <c r="B242" s="502" t="s">
        <v>342</v>
      </c>
      <c r="C242" s="26"/>
      <c r="D242" s="30"/>
      <c r="E242" s="30"/>
      <c r="F242" s="30"/>
      <c r="G242" s="30"/>
      <c r="H242" s="30"/>
      <c r="I242" s="30"/>
      <c r="J242" s="408"/>
      <c r="K242" s="233">
        <f>-MIN(K230,0)</f>
        <v>0</v>
      </c>
      <c r="L242" s="233">
        <f>-MIN(L230,0)</f>
        <v>0</v>
      </c>
      <c r="M242" s="233">
        <f>-MIN(M230,0)</f>
        <v>0</v>
      </c>
      <c r="N242" s="233">
        <f>-MIN(N230,0)</f>
        <v>0</v>
      </c>
      <c r="O242" s="233">
        <f>-MIN(O230,0)</f>
        <v>0</v>
      </c>
      <c r="P242" s="233"/>
    </row>
    <row r="243" spans="1:16" ht="17.600000000000001" customHeight="1" outlineLevel="1">
      <c r="B243" s="502" t="s">
        <v>343</v>
      </c>
      <c r="C243" s="26"/>
      <c r="D243" s="30"/>
      <c r="E243" s="30"/>
      <c r="F243" s="30"/>
      <c r="G243" s="30"/>
      <c r="H243" s="30"/>
      <c r="I243" s="30"/>
      <c r="J243" s="551"/>
      <c r="K243" s="517">
        <f>-MIN(K241,K236)*K223</f>
        <v>-22499.609329800005</v>
      </c>
      <c r="L243" s="517">
        <f>-MIN(L241,L236)*L223</f>
        <v>-1628.3906701999949</v>
      </c>
      <c r="M243" s="517">
        <f>-MIN(M241,M236)*M223</f>
        <v>0</v>
      </c>
      <c r="N243" s="517">
        <f>-MIN(N241,N236)*N223</f>
        <v>0</v>
      </c>
      <c r="O243" s="517">
        <f>-MIN(O241,O236)*O223</f>
        <v>0</v>
      </c>
      <c r="P243" s="233"/>
    </row>
    <row r="244" spans="1:16" ht="17.600000000000001" customHeight="1" outlineLevel="1">
      <c r="B244" s="502" t="s">
        <v>323</v>
      </c>
      <c r="C244" s="26"/>
      <c r="D244" s="30"/>
      <c r="E244" s="30"/>
      <c r="F244" s="30"/>
      <c r="G244" s="30"/>
      <c r="H244" s="30"/>
      <c r="I244" s="30"/>
      <c r="J244" s="397">
        <f>[2]Inputs!$L$97</f>
        <v>24128</v>
      </c>
      <c r="K244" s="233">
        <f>SUM(K241:K243)</f>
        <v>1628.3906701999949</v>
      </c>
      <c r="L244" s="233">
        <f>SUM(L241:L243)</f>
        <v>0</v>
      </c>
      <c r="M244" s="233">
        <f>SUM(M241:M243)</f>
        <v>0</v>
      </c>
      <c r="N244" s="233">
        <f>SUM(N241:N243)</f>
        <v>0</v>
      </c>
      <c r="O244" s="233">
        <f>SUM(O241:O243)</f>
        <v>0</v>
      </c>
      <c r="P244" s="233"/>
    </row>
    <row r="245" spans="1:16" ht="17.600000000000001" customHeight="1" outlineLevel="1">
      <c r="B245" s="29"/>
      <c r="C245" s="26"/>
      <c r="D245" s="30"/>
      <c r="E245" s="30"/>
      <c r="F245" s="30"/>
      <c r="G245" s="30"/>
      <c r="H245" s="30"/>
      <c r="I245" s="30"/>
      <c r="J245" s="408"/>
      <c r="K245" s="408"/>
      <c r="L245" s="408"/>
      <c r="M245" s="408"/>
      <c r="N245" s="408"/>
      <c r="O245" s="408"/>
      <c r="P245" s="408"/>
    </row>
    <row r="246" spans="1:16" ht="17.600000000000001" customHeight="1" outlineLevel="1">
      <c r="B246" s="552"/>
      <c r="C246" s="553"/>
      <c r="D246" s="554"/>
      <c r="E246" s="554"/>
      <c r="F246" s="554"/>
      <c r="G246" s="554"/>
      <c r="H246" s="554"/>
      <c r="I246" s="554"/>
      <c r="J246" s="555"/>
      <c r="K246" s="555"/>
      <c r="L246" s="555"/>
      <c r="M246" s="555"/>
      <c r="N246" s="555"/>
      <c r="O246" s="555"/>
      <c r="P246" s="556"/>
    </row>
    <row r="247" spans="1:16" ht="17.600000000000001" customHeight="1" outlineLevel="1">
      <c r="B247" s="29"/>
      <c r="C247" s="26"/>
      <c r="D247" s="30"/>
      <c r="E247" s="30"/>
      <c r="F247" s="30"/>
      <c r="G247" s="30"/>
      <c r="H247" s="30"/>
      <c r="I247" s="30"/>
      <c r="J247" s="408"/>
      <c r="K247" s="408"/>
      <c r="L247" s="408"/>
      <c r="M247" s="408"/>
      <c r="N247" s="408"/>
      <c r="O247" s="408"/>
      <c r="P247" s="408"/>
    </row>
    <row r="248" spans="1:16" ht="17.600000000000001" customHeight="1" outlineLevel="1">
      <c r="B248" s="474" t="s">
        <v>344</v>
      </c>
      <c r="C248" s="26"/>
      <c r="D248" s="30"/>
      <c r="E248" s="30"/>
      <c r="F248" s="30"/>
      <c r="G248" s="30"/>
      <c r="H248" s="30"/>
      <c r="I248" s="30"/>
      <c r="J248" s="408"/>
      <c r="K248" s="408"/>
      <c r="L248" s="408"/>
      <c r="M248" s="408"/>
      <c r="N248" s="408"/>
      <c r="O248" s="408"/>
      <c r="P248" s="408"/>
    </row>
    <row r="249" spans="1:16" ht="17.600000000000001" customHeight="1" outlineLevel="1">
      <c r="B249" s="502" t="s">
        <v>345</v>
      </c>
      <c r="C249" s="26"/>
      <c r="D249" s="30"/>
      <c r="E249" s="30"/>
      <c r="F249" s="30"/>
      <c r="G249" s="30"/>
      <c r="H249" s="363"/>
      <c r="I249" s="363"/>
      <c r="J249" s="233"/>
      <c r="K249" s="233">
        <f>$D$225*K238</f>
        <v>0</v>
      </c>
      <c r="L249" s="233">
        <f t="shared" ref="L249:O249" si="90">$D$225*L238</f>
        <v>3563.5228444685017</v>
      </c>
      <c r="M249" s="233">
        <f t="shared" si="90"/>
        <v>4569.9002478861612</v>
      </c>
      <c r="N249" s="233">
        <f t="shared" si="90"/>
        <v>6757.4210416366386</v>
      </c>
      <c r="O249" s="233">
        <f t="shared" si="90"/>
        <v>8537.1749482528467</v>
      </c>
      <c r="P249" s="233"/>
    </row>
    <row r="250" spans="1:16" ht="17.600000000000001" customHeight="1" outlineLevel="1">
      <c r="B250" s="502" t="s">
        <v>346</v>
      </c>
      <c r="C250" s="26"/>
      <c r="D250" s="30"/>
      <c r="E250" s="30"/>
      <c r="F250" s="30"/>
      <c r="G250" s="30"/>
      <c r="H250" s="30"/>
      <c r="I250" s="30"/>
      <c r="J250" s="408"/>
      <c r="K250" s="233">
        <f>K251-K249</f>
        <v>2625.8805734375005</v>
      </c>
      <c r="L250" s="233">
        <f>L251-L249</f>
        <v>-33.051082843500808</v>
      </c>
      <c r="M250" s="233">
        <f>M251-M249</f>
        <v>-305.84839566616029</v>
      </c>
      <c r="N250" s="233">
        <f>N251-N249</f>
        <v>-391.97180789363665</v>
      </c>
      <c r="O250" s="233">
        <f>O251-O249</f>
        <v>-493.80845213772409</v>
      </c>
      <c r="P250" s="233"/>
    </row>
    <row r="251" spans="1:16" ht="17.600000000000001" customHeight="1" outlineLevel="1" thickBot="1">
      <c r="B251" s="502" t="s">
        <v>347</v>
      </c>
      <c r="C251" s="26"/>
      <c r="D251" s="30"/>
      <c r="E251" s="30"/>
      <c r="F251" s="30"/>
      <c r="G251" s="30"/>
      <c r="H251" s="30"/>
      <c r="I251" s="30"/>
      <c r="J251" s="408"/>
      <c r="K251" s="503">
        <f>MAX($D$188*K230,0)</f>
        <v>2625.8805734375005</v>
      </c>
      <c r="L251" s="503">
        <f t="shared" ref="L251:O251" si="91">MAX($D$188*L230,0)</f>
        <v>3530.4717616250009</v>
      </c>
      <c r="M251" s="503">
        <f t="shared" si="91"/>
        <v>4264.0518522200009</v>
      </c>
      <c r="N251" s="503">
        <f t="shared" si="91"/>
        <v>6365.449233743002</v>
      </c>
      <c r="O251" s="503">
        <f t="shared" si="91"/>
        <v>8043.3664961151226</v>
      </c>
      <c r="P251" s="233"/>
    </row>
    <row r="252" spans="1:16" ht="17.600000000000001" customHeight="1" outlineLevel="1">
      <c r="B252" s="520"/>
      <c r="C252" s="374"/>
      <c r="D252" s="376"/>
      <c r="E252" s="376"/>
      <c r="F252" s="376"/>
      <c r="G252" s="376"/>
      <c r="H252" s="376"/>
      <c r="I252" s="376"/>
      <c r="J252" s="524"/>
      <c r="K252" s="558"/>
      <c r="L252" s="558"/>
      <c r="M252" s="558"/>
      <c r="N252" s="558"/>
      <c r="O252" s="558"/>
      <c r="P252" s="377"/>
    </row>
    <row r="253" spans="1:16" ht="17.600000000000001" customHeight="1">
      <c r="B253" s="29"/>
      <c r="C253" s="26"/>
      <c r="D253" s="30"/>
      <c r="E253" s="30"/>
      <c r="F253" s="30"/>
      <c r="G253" s="30"/>
      <c r="H253" s="30"/>
      <c r="I253" s="30"/>
      <c r="J253" s="30"/>
      <c r="K253" s="63"/>
      <c r="L253" s="63"/>
      <c r="M253" s="63"/>
      <c r="N253" s="63"/>
      <c r="O253" s="63"/>
      <c r="P253" s="230"/>
    </row>
    <row r="254" spans="1:16" ht="17.600000000000001" customHeight="1">
      <c r="A254" s="161" t="s">
        <v>132</v>
      </c>
      <c r="B254" s="21" t="s">
        <v>358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</row>
    <row r="255" spans="1:16" ht="17.600000000000001" customHeight="1" outlineLevel="1">
      <c r="B255" s="25"/>
      <c r="C255" s="26"/>
      <c r="D255" s="27"/>
      <c r="E255" s="27"/>
      <c r="F255" s="28"/>
      <c r="G255" s="28"/>
      <c r="H255" s="28"/>
      <c r="I255" s="28"/>
      <c r="J255" s="28"/>
      <c r="K255" s="28"/>
      <c r="L255" s="28"/>
      <c r="M255" s="28"/>
      <c r="N255" s="28"/>
      <c r="O255" s="1"/>
      <c r="P255" s="1"/>
    </row>
    <row r="256" spans="1:16" ht="17.600000000000001" customHeight="1" outlineLevel="1" thickBot="1">
      <c r="B256" s="29" t="s">
        <v>6</v>
      </c>
      <c r="C256" s="26"/>
      <c r="D256" s="30"/>
      <c r="E256" s="30"/>
      <c r="F256" s="30"/>
      <c r="G256" s="30"/>
      <c r="H256" s="28"/>
      <c r="I256" s="28"/>
      <c r="J256" s="28"/>
      <c r="K256" s="539" t="str">
        <f t="shared" ref="K256:P256" si="92">K43</f>
        <v>2026F</v>
      </c>
      <c r="L256" s="539" t="str">
        <f t="shared" si="92"/>
        <v>2027F</v>
      </c>
      <c r="M256" s="539" t="str">
        <f t="shared" si="92"/>
        <v>2028F</v>
      </c>
      <c r="N256" s="539" t="str">
        <f t="shared" si="92"/>
        <v>2029F</v>
      </c>
      <c r="O256" s="539" t="str">
        <f t="shared" si="92"/>
        <v>2030F</v>
      </c>
      <c r="P256" s="539" t="str">
        <f t="shared" si="92"/>
        <v>Term</v>
      </c>
    </row>
    <row r="257" spans="2:16" ht="17.600000000000001" customHeight="1" outlineLevel="1">
      <c r="B257" s="29" t="s">
        <v>359</v>
      </c>
      <c r="C257" s="26"/>
      <c r="D257" s="30"/>
      <c r="E257" s="30"/>
      <c r="F257" s="30"/>
      <c r="G257" s="30"/>
      <c r="H257" s="30"/>
      <c r="I257" s="30"/>
      <c r="J257" s="30"/>
      <c r="K257" s="63"/>
      <c r="L257" s="63"/>
      <c r="M257" s="63"/>
      <c r="N257" s="63"/>
      <c r="O257" s="63"/>
      <c r="P257" s="63"/>
    </row>
    <row r="258" spans="2:16" ht="17.600000000000001" customHeight="1" outlineLevel="1">
      <c r="B258" s="29"/>
      <c r="C258" s="26"/>
      <c r="D258" s="30"/>
      <c r="E258" s="30"/>
      <c r="F258" s="30"/>
      <c r="G258" s="30"/>
      <c r="H258" s="30"/>
      <c r="I258" s="30"/>
      <c r="J258" s="30"/>
      <c r="K258" s="411"/>
      <c r="L258" s="411"/>
      <c r="M258" s="411"/>
      <c r="N258" s="411"/>
      <c r="O258" s="411"/>
      <c r="P258" s="411"/>
    </row>
    <row r="259" spans="2:16" ht="17.600000000000001" customHeight="1" outlineLevel="1">
      <c r="B259" s="474" t="s">
        <v>360</v>
      </c>
      <c r="C259" s="26"/>
      <c r="D259" s="30"/>
      <c r="E259" s="30"/>
      <c r="F259" s="30"/>
      <c r="G259" s="474"/>
      <c r="H259" s="474" t="s">
        <v>361</v>
      </c>
      <c r="I259" s="408" t="s">
        <v>241</v>
      </c>
      <c r="J259" s="30"/>
      <c r="K259" s="63"/>
      <c r="L259" s="63"/>
      <c r="M259" s="63"/>
      <c r="N259" s="63"/>
      <c r="O259" s="63"/>
      <c r="P259" s="63"/>
    </row>
    <row r="260" spans="2:16" ht="17.600000000000001" customHeight="1" outlineLevel="1">
      <c r="B260" s="502" t="s">
        <v>362</v>
      </c>
      <c r="C260" s="26"/>
      <c r="D260" s="30"/>
      <c r="E260" s="30"/>
      <c r="F260" s="30"/>
      <c r="G260" s="30"/>
      <c r="H260" s="509" t="s">
        <v>1</v>
      </c>
      <c r="I260" s="540">
        <f>P55</f>
        <v>73406.572170455445</v>
      </c>
      <c r="J260" s="363"/>
      <c r="K260" s="233">
        <f>K249</f>
        <v>0</v>
      </c>
      <c r="L260" s="233">
        <f t="shared" ref="L260:O260" si="93">L249</f>
        <v>3563.5228444685017</v>
      </c>
      <c r="M260" s="233">
        <f t="shared" si="93"/>
        <v>4569.9002478861612</v>
      </c>
      <c r="N260" s="233">
        <f t="shared" si="93"/>
        <v>6757.4210416366386</v>
      </c>
      <c r="O260" s="233">
        <f t="shared" si="93"/>
        <v>8537.1749482528467</v>
      </c>
      <c r="P260" s="559">
        <f>I260*$I$262</f>
        <v>9175.8215213069307</v>
      </c>
    </row>
    <row r="261" spans="2:16" ht="17.600000000000001" customHeight="1" outlineLevel="1">
      <c r="B261" s="502" t="s">
        <v>363</v>
      </c>
      <c r="C261" s="26"/>
      <c r="D261" s="30"/>
      <c r="E261" s="30"/>
      <c r="F261" s="30"/>
      <c r="G261" s="30"/>
      <c r="H261" s="560" t="s">
        <v>272</v>
      </c>
      <c r="I261" s="561">
        <f>P58</f>
        <v>71332.940188239183</v>
      </c>
      <c r="J261" s="363"/>
      <c r="K261" s="233">
        <f>K212</f>
        <v>0</v>
      </c>
      <c r="L261" s="233">
        <f t="shared" ref="L261:O261" si="94">L212</f>
        <v>3304.651573499752</v>
      </c>
      <c r="M261" s="233">
        <f t="shared" si="94"/>
        <v>4364.5273540611606</v>
      </c>
      <c r="N261" s="233">
        <f t="shared" si="94"/>
        <v>6528.1914579766399</v>
      </c>
      <c r="O261" s="233">
        <f t="shared" si="94"/>
        <v>8290.0798323544477</v>
      </c>
      <c r="P261" s="562">
        <f>I261*$I$262</f>
        <v>8916.6175235298979</v>
      </c>
    </row>
    <row r="262" spans="2:16" ht="17.600000000000001" customHeight="1" outlineLevel="1">
      <c r="B262" s="502" t="s">
        <v>364</v>
      </c>
      <c r="C262" s="27"/>
      <c r="D262" s="563"/>
      <c r="E262" s="563"/>
      <c r="F262" s="563"/>
      <c r="G262" s="563"/>
      <c r="H262" s="457" t="s">
        <v>92</v>
      </c>
      <c r="I262" s="490">
        <v>0.125</v>
      </c>
      <c r="J262" s="363"/>
      <c r="K262" s="380">
        <f>K260-K261</f>
        <v>0</v>
      </c>
      <c r="L262" s="380">
        <f t="shared" ref="L262:P262" si="95">L260-L261</f>
        <v>258.87127096874974</v>
      </c>
      <c r="M262" s="380">
        <f t="shared" si="95"/>
        <v>205.37289382500057</v>
      </c>
      <c r="N262" s="380">
        <f t="shared" si="95"/>
        <v>229.22958365999875</v>
      </c>
      <c r="O262" s="380">
        <f t="shared" si="95"/>
        <v>247.09511589839894</v>
      </c>
      <c r="P262" s="564">
        <f t="shared" si="95"/>
        <v>259.20399777703278</v>
      </c>
    </row>
    <row r="263" spans="2:16" ht="17.600000000000001" customHeight="1" outlineLevel="1">
      <c r="B263" s="29"/>
      <c r="C263" s="26"/>
      <c r="D263" s="30"/>
      <c r="E263" s="30"/>
      <c r="F263" s="30"/>
      <c r="G263" s="30"/>
      <c r="H263" s="565"/>
      <c r="I263" s="565"/>
      <c r="J263" s="565"/>
      <c r="K263" s="566"/>
      <c r="L263" s="566"/>
      <c r="M263" s="566"/>
      <c r="N263" s="566"/>
      <c r="O263" s="566"/>
      <c r="P263" s="567"/>
    </row>
    <row r="264" spans="2:16" ht="17.600000000000001" customHeight="1" outlineLevel="1">
      <c r="B264" s="29"/>
      <c r="C264" s="26"/>
      <c r="D264" s="30"/>
      <c r="E264" s="30"/>
      <c r="F264" s="30"/>
      <c r="G264" s="30"/>
      <c r="H264" s="30"/>
      <c r="I264" s="30"/>
      <c r="J264" s="30"/>
      <c r="K264" s="63"/>
      <c r="L264" s="63"/>
      <c r="M264" s="63"/>
      <c r="N264" s="63"/>
      <c r="O264" s="63"/>
      <c r="P264" s="63"/>
    </row>
    <row r="265" spans="2:16" ht="17.600000000000001" customHeight="1" outlineLevel="1">
      <c r="B265" s="466"/>
      <c r="C265" s="391"/>
      <c r="D265" s="393"/>
      <c r="E265" s="393"/>
      <c r="F265" s="393"/>
      <c r="G265" s="393"/>
      <c r="H265" s="393"/>
      <c r="I265" s="393"/>
      <c r="J265" s="393"/>
      <c r="K265" s="467"/>
      <c r="L265" s="467"/>
      <c r="M265" s="467"/>
      <c r="N265" s="467"/>
      <c r="O265" s="467"/>
      <c r="P265" s="467"/>
    </row>
    <row r="266" spans="2:16" ht="17.600000000000001" customHeight="1" outlineLevel="1">
      <c r="B266" s="29"/>
      <c r="C266" s="26"/>
      <c r="D266" s="30"/>
      <c r="E266" s="30"/>
      <c r="F266" s="30"/>
      <c r="G266" s="30"/>
      <c r="H266" s="30"/>
      <c r="I266" s="30"/>
      <c r="J266" s="30"/>
      <c r="K266" s="63"/>
      <c r="L266" s="63"/>
      <c r="M266" s="63"/>
      <c r="N266" s="63"/>
      <c r="O266" s="63"/>
      <c r="P266" s="63"/>
    </row>
    <row r="267" spans="2:16" ht="17.600000000000001" customHeight="1" outlineLevel="1">
      <c r="B267" s="474" t="s">
        <v>365</v>
      </c>
      <c r="C267" s="230"/>
      <c r="D267" s="568"/>
      <c r="E267" s="568"/>
      <c r="F267" s="568"/>
      <c r="G267" s="30"/>
      <c r="H267" s="30"/>
      <c r="I267" s="30"/>
      <c r="J267" s="30"/>
      <c r="K267" s="230"/>
      <c r="L267" s="230"/>
      <c r="M267" s="230"/>
      <c r="N267" s="230"/>
      <c r="O267" s="230"/>
      <c r="P267" s="230"/>
    </row>
    <row r="268" spans="2:16" ht="17.600000000000001" customHeight="1" outlineLevel="1">
      <c r="B268" s="502" t="s">
        <v>2</v>
      </c>
      <c r="C268" s="26"/>
      <c r="D268" s="30"/>
      <c r="E268" s="30"/>
      <c r="F268" s="30"/>
      <c r="G268" s="30"/>
      <c r="H268" s="67"/>
      <c r="I268" s="363"/>
      <c r="J268" s="363"/>
      <c r="K268" s="233">
        <f t="shared" ref="K268:P268" si="96">K52</f>
        <v>22819.813500000004</v>
      </c>
      <c r="L268" s="233">
        <f t="shared" si="96"/>
        <v>31166.875723500008</v>
      </c>
      <c r="M268" s="233">
        <f t="shared" si="96"/>
        <v>38445.805724040008</v>
      </c>
      <c r="N268" s="233">
        <f t="shared" si="96"/>
        <v>56848.936747680018</v>
      </c>
      <c r="O268" s="233">
        <f t="shared" si="96"/>
        <v>71954.097749614099</v>
      </c>
      <c r="P268" s="559">
        <f t="shared" si="96"/>
        <v>83774.732081536727</v>
      </c>
    </row>
    <row r="269" spans="2:16" ht="17.600000000000001" customHeight="1" outlineLevel="1">
      <c r="B269" s="502" t="s">
        <v>345</v>
      </c>
      <c r="C269" s="26"/>
      <c r="D269" s="30"/>
      <c r="E269" s="30"/>
      <c r="F269" s="30"/>
      <c r="G269" s="30"/>
      <c r="H269" s="67"/>
      <c r="I269" s="363"/>
      <c r="J269" s="363"/>
      <c r="K269" s="233">
        <f>-K260</f>
        <v>0</v>
      </c>
      <c r="L269" s="233">
        <f t="shared" ref="L269:P269" si="97">-L260</f>
        <v>-3563.5228444685017</v>
      </c>
      <c r="M269" s="233">
        <f t="shared" si="97"/>
        <v>-4569.9002478861612</v>
      </c>
      <c r="N269" s="233">
        <f t="shared" si="97"/>
        <v>-6757.4210416366386</v>
      </c>
      <c r="O269" s="233">
        <f t="shared" si="97"/>
        <v>-8537.1749482528467</v>
      </c>
      <c r="P269" s="562">
        <f t="shared" si="97"/>
        <v>-9175.8215213069307</v>
      </c>
    </row>
    <row r="270" spans="2:16" ht="17.600000000000001" customHeight="1" outlineLevel="1">
      <c r="B270" s="502" t="s">
        <v>76</v>
      </c>
      <c r="C270" s="26"/>
      <c r="D270" s="30"/>
      <c r="E270" s="30"/>
      <c r="F270" s="30"/>
      <c r="G270" s="30"/>
      <c r="H270" s="363"/>
      <c r="I270" s="363"/>
      <c r="J270" s="363"/>
      <c r="K270" s="233">
        <f>-K88</f>
        <v>-5601.2269499999993</v>
      </c>
      <c r="L270" s="233">
        <f t="shared" ref="L270:P270" si="98">-L88</f>
        <v>-7722.7656659999993</v>
      </c>
      <c r="M270" s="233">
        <f t="shared" si="98"/>
        <v>-9200.7056433599992</v>
      </c>
      <c r="N270" s="233">
        <f t="shared" si="98"/>
        <v>-9902.7180141120007</v>
      </c>
      <c r="O270" s="233">
        <f t="shared" si="98"/>
        <v>-10279.156821373441</v>
      </c>
      <c r="P270" s="562">
        <f t="shared" si="98"/>
        <v>-10368.159911081282</v>
      </c>
    </row>
    <row r="271" spans="2:16" ht="17.600000000000001" customHeight="1" outlineLevel="1">
      <c r="B271" s="502" t="s">
        <v>366</v>
      </c>
      <c r="C271" s="26"/>
      <c r="D271" s="30"/>
      <c r="E271" s="30"/>
      <c r="F271" s="30"/>
      <c r="G271" s="30"/>
      <c r="H271" s="363"/>
      <c r="I271" s="363"/>
      <c r="J271" s="363"/>
      <c r="K271" s="233">
        <f>K177</f>
        <v>-6912.1792372602722</v>
      </c>
      <c r="L271" s="233">
        <f t="shared" ref="L271:P271" si="99">L177</f>
        <v>-10111.631136546574</v>
      </c>
      <c r="M271" s="233">
        <f t="shared" si="99"/>
        <v>-7136.6858265969786</v>
      </c>
      <c r="N271" s="233">
        <f t="shared" si="99"/>
        <v>-4391.3954219050065</v>
      </c>
      <c r="O271" s="233">
        <f t="shared" si="99"/>
        <v>-2453.6746855248566</v>
      </c>
      <c r="P271" s="562">
        <f t="shared" si="99"/>
        <v>-2334.5294610281926</v>
      </c>
    </row>
    <row r="272" spans="2:16" ht="17.600000000000001" customHeight="1" outlineLevel="1" thickBot="1">
      <c r="B272" s="502" t="s">
        <v>234</v>
      </c>
      <c r="C272" s="27"/>
      <c r="D272" s="563"/>
      <c r="E272" s="563"/>
      <c r="F272" s="563"/>
      <c r="G272" s="563"/>
      <c r="H272" s="363"/>
      <c r="I272" s="363"/>
      <c r="J272" s="363"/>
      <c r="K272" s="503">
        <f>SUM(K268:K271)</f>
        <v>10306.407312739731</v>
      </c>
      <c r="L272" s="503">
        <f t="shared" ref="L272:P272" si="100">SUM(L268:L271)</f>
        <v>9768.9560764849339</v>
      </c>
      <c r="M272" s="503">
        <f t="shared" si="100"/>
        <v>17538.51400619687</v>
      </c>
      <c r="N272" s="503">
        <f t="shared" si="100"/>
        <v>35797.402270026374</v>
      </c>
      <c r="O272" s="503">
        <f t="shared" si="100"/>
        <v>50684.091294462953</v>
      </c>
      <c r="P272" s="569">
        <f t="shared" si="100"/>
        <v>61896.221188120318</v>
      </c>
    </row>
    <row r="273" spans="2:16" ht="17.600000000000001" customHeight="1" outlineLevel="1"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258"/>
    </row>
    <row r="274" spans="2:16" ht="17.600000000000001" customHeight="1" outlineLevel="1"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</row>
    <row r="275" spans="2:16" ht="17.600000000000001" customHeight="1" outlineLevel="1">
      <c r="B275" s="474" t="s">
        <v>367</v>
      </c>
      <c r="C275" s="230"/>
      <c r="D275" s="568"/>
      <c r="E275" s="568"/>
      <c r="F275" s="568"/>
      <c r="G275" s="30"/>
      <c r="H275" s="30"/>
      <c r="I275" s="30"/>
      <c r="J275" s="30"/>
      <c r="K275" s="230"/>
      <c r="L275" s="230"/>
      <c r="M275" s="230"/>
      <c r="N275" s="230"/>
      <c r="O275" s="230"/>
      <c r="P275" s="360"/>
    </row>
    <row r="276" spans="2:16" ht="17.600000000000001" customHeight="1" outlineLevel="1">
      <c r="B276" s="502" t="s">
        <v>5</v>
      </c>
      <c r="C276" s="26"/>
      <c r="D276" s="30"/>
      <c r="E276" s="30"/>
      <c r="F276" s="30"/>
      <c r="G276" s="30"/>
      <c r="H276" s="363"/>
      <c r="I276" s="363"/>
      <c r="J276" s="363"/>
      <c r="K276" s="233">
        <f t="shared" ref="K276:P276" si="101">K64</f>
        <v>17655.079039062504</v>
      </c>
      <c r="L276" s="233">
        <f t="shared" si="101"/>
        <v>23627.288409593755</v>
      </c>
      <c r="M276" s="233">
        <f t="shared" si="101"/>
        <v>28410.752708765005</v>
      </c>
      <c r="N276" s="233">
        <f t="shared" si="101"/>
        <v>42953.537550581015</v>
      </c>
      <c r="O276" s="233">
        <f t="shared" si="101"/>
        <v>54573.899661517062</v>
      </c>
      <c r="P276" s="559">
        <f t="shared" si="101"/>
        <v>62416.322664709282</v>
      </c>
    </row>
    <row r="277" spans="2:16" ht="17.600000000000001" customHeight="1" outlineLevel="1">
      <c r="B277" s="502" t="s">
        <v>472</v>
      </c>
      <c r="C277" s="26"/>
      <c r="D277" s="30"/>
      <c r="E277" s="30"/>
      <c r="F277" s="30"/>
      <c r="G277" s="30"/>
      <c r="H277" s="363"/>
      <c r="I277" s="363"/>
      <c r="J277" s="363"/>
      <c r="K277" s="233">
        <f t="shared" ref="K277:P277" si="102">K54</f>
        <v>1812.7689124999999</v>
      </c>
      <c r="L277" s="233">
        <f t="shared" si="102"/>
        <v>2923.1016304999998</v>
      </c>
      <c r="M277" s="233">
        <f t="shared" si="102"/>
        <v>4333.3909062799994</v>
      </c>
      <c r="N277" s="233">
        <f t="shared" si="102"/>
        <v>5925.3428777359995</v>
      </c>
      <c r="O277" s="233">
        <f t="shared" si="102"/>
        <v>7607.1657806931198</v>
      </c>
      <c r="P277" s="562">
        <f t="shared" si="102"/>
        <v>10368.159911081282</v>
      </c>
    </row>
    <row r="278" spans="2:16" ht="17.600000000000001" customHeight="1" outlineLevel="1">
      <c r="B278" s="502" t="s">
        <v>473</v>
      </c>
      <c r="C278" s="26"/>
      <c r="D278" s="30"/>
      <c r="E278" s="30"/>
      <c r="F278" s="30"/>
      <c r="G278" s="30"/>
      <c r="H278" s="363"/>
      <c r="I278" s="363"/>
      <c r="J278" s="363"/>
      <c r="K278" s="233">
        <f t="shared" ref="K278:P278" si="103">K61</f>
        <v>2522.1541484375007</v>
      </c>
      <c r="L278" s="233">
        <f t="shared" si="103"/>
        <v>70.675342156499028</v>
      </c>
      <c r="M278" s="233">
        <f t="shared" si="103"/>
        <v>-305.84839566615983</v>
      </c>
      <c r="N278" s="233">
        <f t="shared" si="103"/>
        <v>-391.97180789363756</v>
      </c>
      <c r="O278" s="233">
        <f t="shared" si="103"/>
        <v>-493.808452137725</v>
      </c>
      <c r="P278" s="562">
        <f t="shared" si="103"/>
        <v>0</v>
      </c>
    </row>
    <row r="279" spans="2:16" ht="17.600000000000001" customHeight="1" outlineLevel="1">
      <c r="B279" s="502" t="s">
        <v>21</v>
      </c>
      <c r="C279" s="26"/>
      <c r="D279" s="30"/>
      <c r="E279" s="30"/>
      <c r="F279" s="30"/>
      <c r="G279" s="30"/>
      <c r="H279" s="363"/>
      <c r="I279" s="363"/>
      <c r="J279" s="363"/>
      <c r="K279" s="233">
        <f t="shared" ref="K279:P279" si="104">K57</f>
        <v>829.81139999999994</v>
      </c>
      <c r="L279" s="233">
        <f t="shared" si="104"/>
        <v>1241.1587677499997</v>
      </c>
      <c r="M279" s="233">
        <f t="shared" si="104"/>
        <v>1642.9831506</v>
      </c>
      <c r="N279" s="233">
        <f t="shared" si="104"/>
        <v>1833.8366692800003</v>
      </c>
      <c r="O279" s="233">
        <f t="shared" si="104"/>
        <v>1976.7609271872004</v>
      </c>
      <c r="P279" s="562">
        <f t="shared" si="104"/>
        <v>2073.6319822162563</v>
      </c>
    </row>
    <row r="280" spans="2:16" ht="17.600000000000001" customHeight="1" outlineLevel="1">
      <c r="B280" s="502" t="s">
        <v>368</v>
      </c>
      <c r="C280" s="26"/>
      <c r="D280" s="30"/>
      <c r="E280" s="30"/>
      <c r="F280" s="30"/>
      <c r="G280" s="30"/>
      <c r="H280" s="363"/>
      <c r="I280" s="363"/>
      <c r="J280" s="363"/>
      <c r="K280" s="233">
        <f>-K262</f>
        <v>0</v>
      </c>
      <c r="L280" s="233">
        <f t="shared" ref="L280:P280" si="105">-L262</f>
        <v>-258.87127096874974</v>
      </c>
      <c r="M280" s="233">
        <f t="shared" si="105"/>
        <v>-205.37289382500057</v>
      </c>
      <c r="N280" s="233">
        <f t="shared" si="105"/>
        <v>-229.22958365999875</v>
      </c>
      <c r="O280" s="233">
        <f t="shared" si="105"/>
        <v>-247.09511589839894</v>
      </c>
      <c r="P280" s="562">
        <f t="shared" si="105"/>
        <v>-259.20399777703278</v>
      </c>
    </row>
    <row r="281" spans="2:16" ht="17.600000000000001" customHeight="1" outlineLevel="1">
      <c r="B281" s="502" t="s">
        <v>76</v>
      </c>
      <c r="C281" s="26"/>
      <c r="D281" s="30"/>
      <c r="E281" s="30"/>
      <c r="F281" s="30"/>
      <c r="G281" s="30"/>
      <c r="H281" s="363"/>
      <c r="I281" s="363"/>
      <c r="J281" s="363"/>
      <c r="K281" s="233">
        <f>K270</f>
        <v>-5601.2269499999993</v>
      </c>
      <c r="L281" s="233">
        <f t="shared" ref="L281:P281" si="106">L270</f>
        <v>-7722.7656659999993</v>
      </c>
      <c r="M281" s="233">
        <f t="shared" si="106"/>
        <v>-9200.7056433599992</v>
      </c>
      <c r="N281" s="233">
        <f t="shared" si="106"/>
        <v>-9902.7180141120007</v>
      </c>
      <c r="O281" s="233">
        <f t="shared" si="106"/>
        <v>-10279.156821373441</v>
      </c>
      <c r="P281" s="562">
        <f t="shared" si="106"/>
        <v>-10368.159911081282</v>
      </c>
    </row>
    <row r="282" spans="2:16" ht="17.600000000000001" customHeight="1" outlineLevel="1">
      <c r="B282" s="502" t="s">
        <v>366</v>
      </c>
      <c r="C282" s="26"/>
      <c r="D282" s="30"/>
      <c r="E282" s="30"/>
      <c r="F282" s="30"/>
      <c r="G282" s="30"/>
      <c r="H282" s="363"/>
      <c r="I282" s="363"/>
      <c r="J282" s="363"/>
      <c r="K282" s="233">
        <f>K271</f>
        <v>-6912.1792372602722</v>
      </c>
      <c r="L282" s="233">
        <f t="shared" ref="L282:P282" si="107">L271</f>
        <v>-10111.631136546574</v>
      </c>
      <c r="M282" s="233">
        <f t="shared" si="107"/>
        <v>-7136.6858265969786</v>
      </c>
      <c r="N282" s="233">
        <f t="shared" si="107"/>
        <v>-4391.3954219050065</v>
      </c>
      <c r="O282" s="233">
        <f t="shared" si="107"/>
        <v>-2453.6746855248566</v>
      </c>
      <c r="P282" s="562">
        <f t="shared" si="107"/>
        <v>-2334.5294610281926</v>
      </c>
    </row>
    <row r="283" spans="2:16" ht="17.600000000000001" customHeight="1" outlineLevel="1" thickBot="1">
      <c r="B283" s="502" t="s">
        <v>234</v>
      </c>
      <c r="C283" s="27"/>
      <c r="D283" s="563"/>
      <c r="E283" s="563"/>
      <c r="F283" s="563"/>
      <c r="G283" s="563"/>
      <c r="H283" s="363"/>
      <c r="I283" s="363"/>
      <c r="J283" s="363"/>
      <c r="K283" s="503">
        <f>SUM(K276:K282)</f>
        <v>10306.407312739731</v>
      </c>
      <c r="L283" s="503">
        <f t="shared" ref="L283:P283" si="108">SUM(L276:L282)</f>
        <v>9768.9560764849339</v>
      </c>
      <c r="M283" s="503">
        <f t="shared" si="108"/>
        <v>17538.514006196863</v>
      </c>
      <c r="N283" s="503">
        <f t="shared" si="108"/>
        <v>35797.402270026374</v>
      </c>
      <c r="O283" s="503">
        <f t="shared" si="108"/>
        <v>50684.09129446296</v>
      </c>
      <c r="P283" s="569">
        <f t="shared" si="108"/>
        <v>61896.221188120318</v>
      </c>
    </row>
    <row r="284" spans="2:16" ht="17.600000000000001" customHeight="1" outlineLevel="1"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258"/>
    </row>
    <row r="285" spans="2:16" ht="17.600000000000001" customHeight="1" outlineLevel="1"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</row>
    <row r="286" spans="2:16" ht="17.600000000000001" customHeight="1" outlineLevel="1">
      <c r="B286" s="570" t="s">
        <v>310</v>
      </c>
      <c r="C286" s="571"/>
      <c r="D286" s="572"/>
      <c r="E286" s="572"/>
      <c r="F286" s="572"/>
      <c r="G286" s="572"/>
      <c r="H286" s="573"/>
      <c r="I286" s="573"/>
      <c r="J286" s="573"/>
      <c r="K286" s="574">
        <f>IF(ROUND(K272-K283,1)=0,0,1)</f>
        <v>0</v>
      </c>
      <c r="L286" s="575">
        <f t="shared" ref="L286:P286" si="109">IF(ROUND(L272-L283,1)=0,0,1)</f>
        <v>0</v>
      </c>
      <c r="M286" s="575">
        <f t="shared" si="109"/>
        <v>0</v>
      </c>
      <c r="N286" s="575">
        <f t="shared" si="109"/>
        <v>0</v>
      </c>
      <c r="O286" s="575">
        <f t="shared" si="109"/>
        <v>0</v>
      </c>
      <c r="P286" s="576">
        <f t="shared" si="109"/>
        <v>0</v>
      </c>
    </row>
    <row r="287" spans="2:16" ht="17.600000000000001" customHeight="1" outlineLevel="1">
      <c r="B287" s="67"/>
      <c r="C287" s="571"/>
      <c r="D287" s="572"/>
      <c r="E287" s="572"/>
      <c r="F287" s="572"/>
      <c r="G287" s="572"/>
      <c r="H287" s="573"/>
      <c r="I287" s="573"/>
      <c r="J287" s="573"/>
      <c r="K287" s="573"/>
      <c r="L287" s="573"/>
      <c r="M287" s="573"/>
      <c r="N287" s="573"/>
      <c r="O287" s="573"/>
      <c r="P287" s="573"/>
    </row>
    <row r="288" spans="2:16" ht="17.600000000000001" customHeight="1" outlineLevel="1">
      <c r="B288" s="577"/>
      <c r="C288" s="578"/>
      <c r="D288" s="579"/>
      <c r="E288" s="579"/>
      <c r="F288" s="579"/>
      <c r="G288" s="579"/>
      <c r="H288" s="580"/>
      <c r="I288" s="580"/>
      <c r="J288" s="580"/>
      <c r="K288" s="580"/>
      <c r="L288" s="580"/>
      <c r="M288" s="580"/>
      <c r="N288" s="580"/>
      <c r="O288" s="580"/>
      <c r="P288" s="580"/>
    </row>
    <row r="289" spans="1:16" ht="17.600000000000001" customHeight="1">
      <c r="B289" s="29"/>
      <c r="C289" s="26"/>
      <c r="D289" s="30"/>
      <c r="E289" s="30"/>
      <c r="F289" s="30"/>
      <c r="G289" s="30"/>
      <c r="H289" s="30"/>
      <c r="I289" s="30"/>
      <c r="J289" s="30"/>
      <c r="K289" s="63"/>
      <c r="L289" s="63"/>
      <c r="M289" s="63"/>
      <c r="N289" s="63"/>
      <c r="O289" s="63"/>
      <c r="P289" s="63"/>
    </row>
    <row r="290" spans="1:16" ht="17.600000000000001" customHeight="1">
      <c r="A290" s="161" t="s">
        <v>132</v>
      </c>
      <c r="B290" s="21" t="s">
        <v>369</v>
      </c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</row>
    <row r="291" spans="1:16" ht="17.600000000000001" customHeight="1" outlineLevel="1">
      <c r="B291" s="25"/>
      <c r="C291" s="26"/>
      <c r="D291" s="27"/>
      <c r="E291" s="27"/>
      <c r="F291" s="27"/>
      <c r="G291" s="27"/>
      <c r="H291" s="28"/>
      <c r="I291" s="28"/>
      <c r="J291" s="28"/>
      <c r="K291" s="28"/>
      <c r="L291" s="28"/>
      <c r="M291" s="28"/>
      <c r="N291" s="28"/>
      <c r="O291" s="28"/>
      <c r="P291" s="28"/>
    </row>
    <row r="292" spans="1:16" ht="17.600000000000001" customHeight="1" outlineLevel="1">
      <c r="B292" s="29" t="s">
        <v>6</v>
      </c>
      <c r="C292" s="26"/>
      <c r="D292" s="27"/>
      <c r="E292" s="27"/>
      <c r="F292" s="27"/>
      <c r="G292" s="27"/>
      <c r="H292" s="230"/>
      <c r="I292" s="230"/>
      <c r="J292" s="230"/>
      <c r="K292" s="230"/>
      <c r="L292" s="230"/>
      <c r="M292" s="230"/>
      <c r="N292" s="230"/>
      <c r="O292" s="230"/>
      <c r="P292" s="230"/>
    </row>
    <row r="293" spans="1:16" ht="17.600000000000001" customHeight="1" outlineLevel="1">
      <c r="B293" s="29" t="s">
        <v>359</v>
      </c>
      <c r="C293" s="230"/>
      <c r="D293" s="230"/>
      <c r="E293" s="230"/>
      <c r="F293" s="230"/>
      <c r="G293" s="30"/>
      <c r="H293" s="28"/>
      <c r="I293" s="28"/>
      <c r="J293" s="581" t="s">
        <v>370</v>
      </c>
      <c r="K293" s="582" t="s">
        <v>371</v>
      </c>
      <c r="L293" s="583"/>
      <c r="M293" s="583"/>
      <c r="N293" s="583"/>
      <c r="O293" s="583"/>
      <c r="P293" s="584" t="s">
        <v>241</v>
      </c>
    </row>
    <row r="294" spans="1:16" ht="17.600000000000001" customHeight="1" outlineLevel="1">
      <c r="B294" s="230"/>
      <c r="C294" s="230"/>
      <c r="D294" s="230"/>
      <c r="E294" s="230"/>
      <c r="F294" s="230"/>
      <c r="G294" s="30"/>
      <c r="H294" s="230"/>
      <c r="I294" s="230"/>
      <c r="J294" s="585" t="s">
        <v>372</v>
      </c>
      <c r="K294" s="586" t="s">
        <v>372</v>
      </c>
      <c r="L294" s="587" t="s">
        <v>372</v>
      </c>
      <c r="M294" s="587" t="s">
        <v>372</v>
      </c>
      <c r="N294" s="587" t="s">
        <v>372</v>
      </c>
      <c r="O294" s="587" t="s">
        <v>372</v>
      </c>
      <c r="P294" s="588" t="s">
        <v>372</v>
      </c>
    </row>
    <row r="295" spans="1:16" ht="17.600000000000001" customHeight="1" outlineLevel="1">
      <c r="B295" s="452" t="s">
        <v>373</v>
      </c>
      <c r="C295" s="589">
        <f>Outputs!$O$10</f>
        <v>0.03</v>
      </c>
      <c r="D295" s="230"/>
      <c r="E295" s="230"/>
      <c r="F295" s="230"/>
      <c r="G295" s="30"/>
      <c r="H295" s="590" t="s">
        <v>374</v>
      </c>
      <c r="I295" s="230"/>
      <c r="J295" s="591">
        <f>Inputs!F98</f>
        <v>45920</v>
      </c>
      <c r="K295" s="592">
        <f>Inputs!F100</f>
        <v>46053</v>
      </c>
      <c r="L295" s="593">
        <f t="shared" ref="L295:P296" si="110">EDATE(K295,12)</f>
        <v>46418</v>
      </c>
      <c r="M295" s="593">
        <f t="shared" si="110"/>
        <v>46783</v>
      </c>
      <c r="N295" s="593">
        <f t="shared" si="110"/>
        <v>47149</v>
      </c>
      <c r="O295" s="593">
        <f t="shared" si="110"/>
        <v>47514</v>
      </c>
      <c r="P295" s="594">
        <f t="shared" si="110"/>
        <v>47879</v>
      </c>
    </row>
    <row r="296" spans="1:16" ht="17.600000000000001" customHeight="1" outlineLevel="1">
      <c r="B296" s="512" t="s">
        <v>277</v>
      </c>
      <c r="C296" s="595">
        <f>Outputs!$O$11</f>
        <v>0.10320887088169083</v>
      </c>
      <c r="D296" s="27"/>
      <c r="E296" s="27"/>
      <c r="F296" s="27"/>
      <c r="G296" s="27"/>
      <c r="H296" s="590" t="s">
        <v>375</v>
      </c>
      <c r="I296" s="230"/>
      <c r="J296" s="596">
        <f>J295</f>
        <v>45920</v>
      </c>
      <c r="K296" s="597">
        <f>Inputs!F99</f>
        <v>46053</v>
      </c>
      <c r="L296" s="598">
        <f t="shared" si="110"/>
        <v>46418</v>
      </c>
      <c r="M296" s="598">
        <f t="shared" si="110"/>
        <v>46783</v>
      </c>
      <c r="N296" s="598">
        <f t="shared" si="110"/>
        <v>47149</v>
      </c>
      <c r="O296" s="598">
        <f t="shared" si="110"/>
        <v>47514</v>
      </c>
      <c r="P296" s="599">
        <f t="shared" si="110"/>
        <v>47879</v>
      </c>
    </row>
    <row r="297" spans="1:16" ht="17.600000000000001" customHeight="1" outlineLevel="1">
      <c r="B297" s="25"/>
      <c r="C297" s="26"/>
      <c r="D297" s="27"/>
      <c r="E297" s="27"/>
      <c r="F297" s="27"/>
      <c r="G297" s="27"/>
      <c r="H297" s="28"/>
      <c r="I297" s="28"/>
      <c r="J297" s="28"/>
      <c r="K297" s="28"/>
      <c r="L297" s="28"/>
      <c r="M297" s="28"/>
      <c r="N297" s="28"/>
      <c r="O297" s="28"/>
      <c r="P297" s="28"/>
    </row>
    <row r="298" spans="1:16" ht="17.600000000000001" customHeight="1" outlineLevel="1">
      <c r="B298" s="9" t="s">
        <v>234</v>
      </c>
      <c r="C298" s="230"/>
      <c r="D298" s="30"/>
      <c r="E298" s="30"/>
      <c r="F298" s="30"/>
      <c r="G298" s="30"/>
      <c r="H298" s="363"/>
      <c r="I298" s="363"/>
      <c r="J298" s="600"/>
      <c r="K298" s="601">
        <f>K283</f>
        <v>10306.407312739731</v>
      </c>
      <c r="L298" s="601">
        <f t="shared" ref="L298:P298" si="111">L283</f>
        <v>9768.9560764849339</v>
      </c>
      <c r="M298" s="601">
        <f t="shared" si="111"/>
        <v>17538.514006196863</v>
      </c>
      <c r="N298" s="601">
        <f t="shared" si="111"/>
        <v>35797.402270026374</v>
      </c>
      <c r="O298" s="601">
        <f t="shared" si="111"/>
        <v>50684.09129446296</v>
      </c>
      <c r="P298" s="602">
        <f t="shared" si="111"/>
        <v>61896.221188120318</v>
      </c>
    </row>
    <row r="299" spans="1:16" ht="17.600000000000001" customHeight="1" outlineLevel="1">
      <c r="B299" s="230"/>
      <c r="C299" s="230"/>
      <c r="D299" s="230"/>
      <c r="E299" s="230"/>
      <c r="F299" s="230"/>
      <c r="G299" s="230"/>
      <c r="H299" s="230"/>
      <c r="I299" s="230"/>
      <c r="J299" s="230"/>
      <c r="K299" s="230"/>
      <c r="L299" s="230"/>
      <c r="M299" s="230"/>
      <c r="N299" s="230"/>
      <c r="O299" s="230"/>
      <c r="P299" s="230"/>
    </row>
    <row r="300" spans="1:16" ht="17.600000000000001" customHeight="1" outlineLevel="1">
      <c r="B300" s="29"/>
      <c r="C300" s="230"/>
      <c r="D300" s="67"/>
      <c r="E300" s="67"/>
      <c r="F300" s="67"/>
      <c r="G300" s="30"/>
      <c r="H300" s="67"/>
      <c r="I300" s="30"/>
      <c r="J300" s="30"/>
      <c r="K300" s="63"/>
      <c r="L300" s="63"/>
      <c r="M300" s="63"/>
      <c r="N300" s="63"/>
      <c r="O300" s="63"/>
      <c r="P300" s="230"/>
    </row>
    <row r="301" spans="1:16" ht="17.600000000000001" customHeight="1" outlineLevel="1">
      <c r="B301" s="474" t="s">
        <v>376</v>
      </c>
      <c r="C301" s="230"/>
      <c r="D301" s="67"/>
      <c r="E301" s="67"/>
      <c r="F301" s="67"/>
      <c r="G301" s="30"/>
      <c r="H301" s="67"/>
      <c r="I301" s="30"/>
      <c r="J301" s="30"/>
      <c r="K301" s="63"/>
      <c r="L301" s="63"/>
      <c r="M301" s="63"/>
      <c r="N301" s="63"/>
      <c r="O301" s="63"/>
      <c r="P301" s="230"/>
    </row>
    <row r="302" spans="1:16" ht="17.600000000000001" customHeight="1" outlineLevel="1">
      <c r="B302" s="104" t="s">
        <v>371</v>
      </c>
      <c r="C302" s="230"/>
      <c r="D302" s="603"/>
      <c r="E302" s="603"/>
      <c r="F302" s="603"/>
      <c r="G302" s="30"/>
      <c r="H302" s="67"/>
      <c r="I302" s="363"/>
      <c r="J302" s="410">
        <v>0</v>
      </c>
      <c r="K302" s="424">
        <f>K298</f>
        <v>10306.407312739731</v>
      </c>
      <c r="L302" s="424">
        <f t="shared" ref="L302:O302" si="112">L298</f>
        <v>9768.9560764849339</v>
      </c>
      <c r="M302" s="424">
        <f t="shared" si="112"/>
        <v>17538.514006196863</v>
      </c>
      <c r="N302" s="424">
        <f t="shared" si="112"/>
        <v>35797.402270026374</v>
      </c>
      <c r="O302" s="424">
        <f t="shared" si="112"/>
        <v>50684.09129446296</v>
      </c>
      <c r="P302" s="519"/>
    </row>
    <row r="303" spans="1:16" ht="17.600000000000001" customHeight="1" outlineLevel="1">
      <c r="B303" s="104" t="s">
        <v>377</v>
      </c>
      <c r="C303" s="230"/>
      <c r="D303" s="30"/>
      <c r="E303" s="30"/>
      <c r="F303" s="30"/>
      <c r="G303" s="30"/>
      <c r="H303" s="67"/>
      <c r="I303" s="363"/>
      <c r="J303" s="604">
        <v>0</v>
      </c>
      <c r="K303" s="604">
        <v>0</v>
      </c>
      <c r="L303" s="604">
        <v>0</v>
      </c>
      <c r="M303" s="604">
        <v>0</v>
      </c>
      <c r="N303" s="604">
        <v>0</v>
      </c>
      <c r="O303" s="500">
        <f>P298/(C296-C295)</f>
        <v>845474.33176708443</v>
      </c>
      <c r="P303" s="519"/>
    </row>
    <row r="304" spans="1:16" ht="17.600000000000001" customHeight="1" outlineLevel="1">
      <c r="B304" s="104" t="s">
        <v>378</v>
      </c>
      <c r="C304" s="230"/>
      <c r="D304" s="563"/>
      <c r="E304" s="563"/>
      <c r="F304" s="563"/>
      <c r="G304" s="563"/>
      <c r="H304" s="363"/>
      <c r="I304" s="363"/>
      <c r="J304" s="424">
        <f>SUM(J302:J303)</f>
        <v>0</v>
      </c>
      <c r="K304" s="424">
        <f>SUM(K302:K303)</f>
        <v>10306.407312739731</v>
      </c>
      <c r="L304" s="424">
        <f t="shared" ref="L304:O304" si="113">SUM(L302:L303)</f>
        <v>9768.9560764849339</v>
      </c>
      <c r="M304" s="424">
        <f t="shared" si="113"/>
        <v>17538.514006196863</v>
      </c>
      <c r="N304" s="424">
        <f t="shared" si="113"/>
        <v>35797.402270026374</v>
      </c>
      <c r="O304" s="424">
        <f t="shared" si="113"/>
        <v>896158.42306154734</v>
      </c>
      <c r="P304" s="363"/>
    </row>
    <row r="305" spans="2:16" ht="17.600000000000001" customHeight="1" outlineLevel="1">
      <c r="B305" s="474"/>
      <c r="C305" s="230"/>
      <c r="D305" s="30"/>
      <c r="E305" s="30"/>
      <c r="F305" s="30"/>
      <c r="G305" s="30"/>
      <c r="H305" s="565"/>
      <c r="I305" s="565"/>
      <c r="J305" s="565"/>
      <c r="K305" s="565"/>
      <c r="L305" s="565"/>
      <c r="M305" s="565"/>
      <c r="N305" s="565"/>
      <c r="O305" s="67"/>
      <c r="P305" s="67"/>
    </row>
    <row r="306" spans="2:16" ht="17.600000000000001" customHeight="1" outlineLevel="1">
      <c r="B306" s="474" t="s">
        <v>379</v>
      </c>
      <c r="C306" s="230"/>
      <c r="D306" s="30"/>
      <c r="E306" s="30"/>
      <c r="F306" s="30"/>
      <c r="G306" s="30"/>
      <c r="H306" s="67"/>
      <c r="I306" s="30"/>
      <c r="J306" s="30"/>
      <c r="K306" s="63"/>
      <c r="L306" s="63"/>
      <c r="M306" s="63"/>
      <c r="N306" s="63"/>
      <c r="O306" s="63"/>
      <c r="P306" s="363"/>
    </row>
    <row r="307" spans="2:16" ht="17.600000000000001" customHeight="1" outlineLevel="1">
      <c r="B307" s="502" t="s">
        <v>380</v>
      </c>
      <c r="C307" s="230"/>
      <c r="D307" s="30"/>
      <c r="E307" s="30"/>
      <c r="F307" s="30"/>
      <c r="G307" s="30"/>
      <c r="H307" s="565"/>
      <c r="I307" s="565"/>
      <c r="J307" s="410">
        <v>0</v>
      </c>
      <c r="K307" s="605">
        <f>YEARFRAC(K295,J295)</f>
        <v>0.36388888888888887</v>
      </c>
      <c r="L307" s="605">
        <f t="shared" ref="L307:O307" si="114">YEARFRAC(L295,K295)</f>
        <v>1</v>
      </c>
      <c r="M307" s="605">
        <f t="shared" si="114"/>
        <v>1</v>
      </c>
      <c r="N307" s="605">
        <f t="shared" si="114"/>
        <v>1</v>
      </c>
      <c r="O307" s="605">
        <f t="shared" si="114"/>
        <v>1</v>
      </c>
      <c r="P307" s="605"/>
    </row>
    <row r="308" spans="2:16" ht="17.600000000000001" customHeight="1" outlineLevel="1">
      <c r="B308" s="502"/>
      <c r="C308" s="230"/>
      <c r="D308" s="30"/>
      <c r="E308" s="30"/>
      <c r="F308" s="30"/>
      <c r="G308" s="30"/>
      <c r="H308" s="565"/>
      <c r="I308" s="565"/>
      <c r="J308" s="410"/>
      <c r="K308" s="605"/>
      <c r="L308" s="605"/>
      <c r="M308" s="605"/>
      <c r="N308" s="605"/>
      <c r="O308" s="605"/>
      <c r="P308" s="363"/>
    </row>
    <row r="309" spans="2:16" ht="17.600000000000001" customHeight="1" outlineLevel="1">
      <c r="B309" s="104" t="s">
        <v>371</v>
      </c>
      <c r="C309" s="230"/>
      <c r="D309" s="603"/>
      <c r="E309" s="603"/>
      <c r="F309" s="603"/>
      <c r="G309" s="30"/>
      <c r="H309" s="67"/>
      <c r="I309" s="363"/>
      <c r="J309" s="410">
        <v>0</v>
      </c>
      <c r="K309" s="424">
        <f>K302*K$307</f>
        <v>3750.3871054691799</v>
      </c>
      <c r="L309" s="424">
        <f t="shared" ref="L309:O310" si="115">L302*L$307</f>
        <v>9768.9560764849339</v>
      </c>
      <c r="M309" s="424">
        <f t="shared" si="115"/>
        <v>17538.514006196863</v>
      </c>
      <c r="N309" s="424">
        <f t="shared" si="115"/>
        <v>35797.402270026374</v>
      </c>
      <c r="O309" s="424">
        <f t="shared" si="115"/>
        <v>50684.09129446296</v>
      </c>
      <c r="P309" s="363"/>
    </row>
    <row r="310" spans="2:16" ht="17.600000000000001" customHeight="1" outlineLevel="1">
      <c r="B310" s="104" t="s">
        <v>377</v>
      </c>
      <c r="C310" s="230"/>
      <c r="D310" s="30"/>
      <c r="E310" s="30"/>
      <c r="F310" s="30"/>
      <c r="G310" s="30"/>
      <c r="H310" s="67"/>
      <c r="I310" s="363"/>
      <c r="J310" s="604">
        <v>0</v>
      </c>
      <c r="K310" s="424">
        <f>K303*K$307</f>
        <v>0</v>
      </c>
      <c r="L310" s="424">
        <f t="shared" si="115"/>
        <v>0</v>
      </c>
      <c r="M310" s="424">
        <f t="shared" si="115"/>
        <v>0</v>
      </c>
      <c r="N310" s="424">
        <f t="shared" si="115"/>
        <v>0</v>
      </c>
      <c r="O310" s="424">
        <f t="shared" si="115"/>
        <v>845474.33176708443</v>
      </c>
      <c r="P310" s="363"/>
    </row>
    <row r="311" spans="2:16" ht="17.600000000000001" customHeight="1" outlineLevel="1">
      <c r="B311" s="104" t="s">
        <v>378</v>
      </c>
      <c r="C311" s="230"/>
      <c r="D311" s="563"/>
      <c r="E311" s="563"/>
      <c r="F311" s="563"/>
      <c r="G311" s="563"/>
      <c r="H311" s="363"/>
      <c r="I311" s="363"/>
      <c r="J311" s="424">
        <f>SUM(J309:J310)</f>
        <v>0</v>
      </c>
      <c r="K311" s="425">
        <f>SUM(K309:K310)</f>
        <v>3750.3871054691799</v>
      </c>
      <c r="L311" s="425">
        <f t="shared" ref="L311:O311" si="116">SUM(L309:L310)</f>
        <v>9768.9560764849339</v>
      </c>
      <c r="M311" s="425">
        <f t="shared" si="116"/>
        <v>17538.514006196863</v>
      </c>
      <c r="N311" s="493">
        <f t="shared" si="116"/>
        <v>35797.402270026374</v>
      </c>
      <c r="O311" s="606">
        <f t="shared" si="116"/>
        <v>896158.42306154734</v>
      </c>
      <c r="P311" s="363"/>
    </row>
    <row r="312" spans="2:16" ht="17.600000000000001" customHeight="1" outlineLevel="1">
      <c r="B312" s="502"/>
      <c r="C312" s="230"/>
      <c r="D312" s="30"/>
      <c r="E312" s="30"/>
      <c r="F312" s="30"/>
      <c r="G312" s="30"/>
      <c r="H312" s="565"/>
      <c r="I312" s="565"/>
      <c r="J312" s="410"/>
      <c r="K312" s="605"/>
      <c r="L312" s="605"/>
      <c r="M312" s="605"/>
      <c r="N312" s="605"/>
      <c r="O312" s="605"/>
      <c r="P312" s="363"/>
    </row>
    <row r="313" spans="2:16" ht="17.600000000000001" customHeight="1" outlineLevel="1">
      <c r="B313" s="474" t="s">
        <v>381</v>
      </c>
      <c r="C313" s="230"/>
      <c r="D313" s="30"/>
      <c r="E313" s="30"/>
      <c r="F313" s="30"/>
      <c r="G313" s="30"/>
      <c r="H313" s="67"/>
      <c r="I313" s="30"/>
      <c r="J313" s="30"/>
      <c r="K313" s="63"/>
      <c r="L313" s="63"/>
      <c r="M313" s="63"/>
      <c r="N313" s="63"/>
      <c r="O313" s="63"/>
      <c r="P313" s="363"/>
    </row>
    <row r="314" spans="2:16" ht="17.600000000000001" customHeight="1" outlineLevel="1">
      <c r="B314" s="502" t="s">
        <v>382</v>
      </c>
      <c r="C314" s="67"/>
      <c r="D314" s="30"/>
      <c r="E314" s="30"/>
      <c r="F314" s="30"/>
      <c r="G314" s="30"/>
      <c r="H314" s="363"/>
      <c r="I314" s="363"/>
      <c r="J314" s="98">
        <v>0</v>
      </c>
      <c r="K314" s="387">
        <f>J314+YEARFRAC(J296,K296)</f>
        <v>0.36388888888888887</v>
      </c>
      <c r="L314" s="387">
        <f t="shared" ref="L314:O314" si="117">K314+YEARFRAC(K296,L296)</f>
        <v>1.3638888888888889</v>
      </c>
      <c r="M314" s="387">
        <f t="shared" si="117"/>
        <v>2.3638888888888889</v>
      </c>
      <c r="N314" s="387">
        <f t="shared" si="117"/>
        <v>3.3638888888888889</v>
      </c>
      <c r="O314" s="387">
        <f t="shared" si="117"/>
        <v>4.3638888888888889</v>
      </c>
      <c r="P314" s="363"/>
    </row>
    <row r="315" spans="2:16" ht="17.600000000000001" customHeight="1" outlineLevel="1">
      <c r="B315" s="502"/>
      <c r="C315" s="67"/>
      <c r="D315" s="30"/>
      <c r="E315" s="30"/>
      <c r="F315" s="30"/>
      <c r="G315" s="30"/>
      <c r="H315" s="363"/>
      <c r="I315" s="363"/>
      <c r="J315" s="98"/>
      <c r="K315" s="387"/>
      <c r="L315" s="387"/>
      <c r="M315" s="387"/>
      <c r="N315" s="387"/>
      <c r="O315" s="387"/>
      <c r="P315" s="363"/>
    </row>
    <row r="316" spans="2:16" ht="17.600000000000001" customHeight="1" outlineLevel="1">
      <c r="B316" s="104" t="s">
        <v>371</v>
      </c>
      <c r="C316" s="230"/>
      <c r="D316" s="603"/>
      <c r="E316" s="603"/>
      <c r="F316" s="603"/>
      <c r="G316" s="30"/>
      <c r="H316" s="67"/>
      <c r="I316" s="363"/>
      <c r="J316" s="396">
        <v>0</v>
      </c>
      <c r="K316" s="424">
        <f>K309/(1+$C$296)^K$314</f>
        <v>3618.7069729539899</v>
      </c>
      <c r="L316" s="424">
        <f t="shared" ref="L316:O317" si="118">L309/(1+$C$296)^L$314</f>
        <v>8544.1277267241148</v>
      </c>
      <c r="M316" s="424">
        <f t="shared" si="118"/>
        <v>13904.475900139871</v>
      </c>
      <c r="N316" s="424">
        <f t="shared" si="118"/>
        <v>25725.012623043025</v>
      </c>
      <c r="O316" s="424">
        <f t="shared" si="118"/>
        <v>33015.509489886994</v>
      </c>
      <c r="P316" s="363"/>
    </row>
    <row r="317" spans="2:16" ht="17.600000000000001" customHeight="1" outlineLevel="1">
      <c r="B317" s="104" t="s">
        <v>377</v>
      </c>
      <c r="C317" s="230"/>
      <c r="D317" s="30"/>
      <c r="E317" s="30"/>
      <c r="F317" s="30"/>
      <c r="G317" s="30"/>
      <c r="H317" s="67"/>
      <c r="I317" s="363"/>
      <c r="J317" s="604">
        <v>0</v>
      </c>
      <c r="K317" s="607">
        <f>K310/(1+$C$296)^K$314</f>
        <v>0</v>
      </c>
      <c r="L317" s="607">
        <f t="shared" si="118"/>
        <v>0</v>
      </c>
      <c r="M317" s="607">
        <f t="shared" si="118"/>
        <v>0</v>
      </c>
      <c r="N317" s="607">
        <f t="shared" si="118"/>
        <v>0</v>
      </c>
      <c r="O317" s="424">
        <f t="shared" si="118"/>
        <v>550740.18515473534</v>
      </c>
      <c r="P317" s="363"/>
    </row>
    <row r="318" spans="2:16" ht="17.600000000000001" customHeight="1" outlineLevel="1">
      <c r="B318" s="104" t="s">
        <v>378</v>
      </c>
      <c r="C318" s="230"/>
      <c r="D318" s="563"/>
      <c r="E318" s="563"/>
      <c r="F318" s="563"/>
      <c r="G318" s="563"/>
      <c r="H318" s="363"/>
      <c r="I318" s="363"/>
      <c r="J318" s="424">
        <f>SUM(J316:J317)</f>
        <v>0</v>
      </c>
      <c r="K318" s="424">
        <f>SUM(K316:K317)</f>
        <v>3618.7069729539899</v>
      </c>
      <c r="L318" s="424">
        <f t="shared" ref="L318:O318" si="119">SUM(L316:L317)</f>
        <v>8544.1277267241148</v>
      </c>
      <c r="M318" s="424">
        <f t="shared" si="119"/>
        <v>13904.475900139871</v>
      </c>
      <c r="N318" s="424">
        <f t="shared" si="119"/>
        <v>25725.012623043025</v>
      </c>
      <c r="O318" s="606">
        <f t="shared" si="119"/>
        <v>583755.69464462239</v>
      </c>
      <c r="P318" s="363"/>
    </row>
    <row r="319" spans="2:16" ht="17.600000000000001" customHeight="1" outlineLevel="1">
      <c r="B319" s="502"/>
      <c r="C319" s="230"/>
      <c r="D319" s="30"/>
      <c r="E319" s="30"/>
      <c r="F319" s="30"/>
      <c r="G319" s="30"/>
      <c r="H319" s="565"/>
      <c r="I319" s="565"/>
      <c r="J319" s="410"/>
      <c r="K319" s="605"/>
      <c r="L319" s="605"/>
      <c r="M319" s="605"/>
      <c r="N319" s="605"/>
      <c r="O319" s="605"/>
      <c r="P319" s="363"/>
    </row>
    <row r="320" spans="2:16" ht="17.600000000000001" customHeight="1" outlineLevel="1">
      <c r="B320" s="67"/>
      <c r="C320" s="67"/>
      <c r="D320" s="67"/>
      <c r="E320" s="67"/>
      <c r="F320" s="67"/>
      <c r="G320" s="67"/>
      <c r="H320" s="258"/>
      <c r="I320" s="258"/>
      <c r="J320" s="258"/>
      <c r="K320" s="258"/>
      <c r="L320" s="258"/>
      <c r="M320" s="258"/>
      <c r="N320" s="258"/>
      <c r="O320" s="258"/>
      <c r="P320" s="67"/>
    </row>
    <row r="321" spans="1:16" ht="17.600000000000001" customHeight="1" outlineLevel="1">
      <c r="B321" s="67"/>
      <c r="C321" s="67"/>
      <c r="D321" s="67"/>
      <c r="E321" s="67"/>
      <c r="F321" s="67"/>
      <c r="G321" s="67"/>
      <c r="H321" s="32" t="s">
        <v>383</v>
      </c>
      <c r="I321" s="608"/>
      <c r="J321" s="258"/>
      <c r="K321" s="258"/>
      <c r="L321" s="32" t="s">
        <v>383</v>
      </c>
      <c r="M321" s="608"/>
      <c r="N321" s="258"/>
      <c r="O321" s="258"/>
      <c r="P321" s="67"/>
    </row>
    <row r="322" spans="1:16" ht="17.600000000000001" customHeight="1" outlineLevel="1">
      <c r="B322" s="67"/>
      <c r="C322" s="67"/>
      <c r="D322" s="67"/>
      <c r="E322" s="67"/>
      <c r="F322" s="67"/>
      <c r="G322" s="67"/>
      <c r="H322" s="609" t="s">
        <v>384</v>
      </c>
      <c r="I322" s="610"/>
      <c r="J322" s="540">
        <f>SUM(J318:O318)</f>
        <v>635548.01786748343</v>
      </c>
      <c r="K322" s="258"/>
      <c r="L322" s="609" t="s">
        <v>385</v>
      </c>
      <c r="M322" s="610"/>
      <c r="N322" s="611">
        <f>O322/$O$324</f>
        <v>0.1334404802288772</v>
      </c>
      <c r="O322" s="540">
        <f>SUM(J316:O316)</f>
        <v>84807.832712748001</v>
      </c>
      <c r="P322" s="67"/>
    </row>
    <row r="323" spans="1:16" ht="17.600000000000001" customHeight="1" outlineLevel="1">
      <c r="B323" s="67"/>
      <c r="C323" s="67"/>
      <c r="D323" s="67"/>
      <c r="E323" s="67"/>
      <c r="F323" s="67"/>
      <c r="G323" s="67"/>
      <c r="H323" s="612" t="s">
        <v>474</v>
      </c>
      <c r="I323" s="613"/>
      <c r="J323" s="614">
        <f>XNPV(C296,J311:O311,J296:O296)</f>
        <v>635353.15455245343</v>
      </c>
      <c r="K323" s="258"/>
      <c r="L323" s="615" t="s">
        <v>386</v>
      </c>
      <c r="M323" s="258"/>
      <c r="N323" s="616">
        <f>O323/$O$324</f>
        <v>0.86655951977112289</v>
      </c>
      <c r="O323" s="561">
        <f>SUM(J317:O317)</f>
        <v>550740.18515473534</v>
      </c>
      <c r="P323" s="67"/>
    </row>
    <row r="324" spans="1:16" ht="17.600000000000001" customHeight="1" outlineLevel="1">
      <c r="B324" s="67"/>
      <c r="C324" s="67"/>
      <c r="D324" s="67"/>
      <c r="E324" s="67"/>
      <c r="F324" s="67"/>
      <c r="G324" s="67"/>
      <c r="H324" s="67"/>
      <c r="I324" s="67"/>
      <c r="J324" s="67"/>
      <c r="K324" s="258"/>
      <c r="L324" s="615" t="s">
        <v>387</v>
      </c>
      <c r="M324" s="258"/>
      <c r="N324" s="611">
        <f>O324/$O$324</f>
        <v>1</v>
      </c>
      <c r="O324" s="540">
        <f>SUM(O322:O323)</f>
        <v>635548.01786748332</v>
      </c>
      <c r="P324" s="67"/>
    </row>
    <row r="325" spans="1:16" ht="17.600000000000001" customHeight="1" outlineLevel="1">
      <c r="B325" s="67"/>
      <c r="C325" s="67"/>
      <c r="D325" s="67"/>
      <c r="E325" s="67"/>
      <c r="F325" s="67"/>
      <c r="G325" s="67"/>
      <c r="H325" s="258"/>
      <c r="I325" s="258"/>
      <c r="J325" s="258"/>
      <c r="K325" s="258"/>
      <c r="L325" s="610"/>
      <c r="M325" s="610"/>
      <c r="N325" s="610"/>
      <c r="O325" s="610"/>
      <c r="P325" s="67"/>
    </row>
    <row r="326" spans="1:16" ht="17.600000000000001" customHeight="1" outlineLevel="1">
      <c r="B326" s="67"/>
      <c r="C326" s="67"/>
      <c r="D326" s="67"/>
      <c r="E326" s="67"/>
      <c r="F326" s="67"/>
      <c r="G326" s="67"/>
      <c r="H326" s="258"/>
      <c r="I326" s="258"/>
      <c r="J326" s="258"/>
      <c r="K326" s="258"/>
      <c r="L326" s="258"/>
      <c r="M326" s="258"/>
      <c r="N326" s="258"/>
      <c r="O326" s="258"/>
      <c r="P326" s="67"/>
    </row>
    <row r="327" spans="1:16" ht="17.600000000000001" customHeight="1" outlineLevel="1">
      <c r="B327" s="67"/>
      <c r="C327" s="67"/>
      <c r="D327" s="67"/>
      <c r="E327" s="67"/>
      <c r="F327" s="67"/>
      <c r="G327" s="67"/>
      <c r="H327" s="32" t="s">
        <v>388</v>
      </c>
      <c r="I327" s="363"/>
      <c r="J327" s="258"/>
      <c r="K327" s="258"/>
      <c r="L327" s="32" t="s">
        <v>389</v>
      </c>
      <c r="M327" s="363"/>
      <c r="N327" s="258"/>
      <c r="O327" s="258"/>
      <c r="P327" s="67"/>
    </row>
    <row r="328" spans="1:16" ht="17.600000000000001" customHeight="1" outlineLevel="1">
      <c r="B328" s="67"/>
      <c r="C328" s="67"/>
      <c r="D328" s="67"/>
      <c r="E328" s="67"/>
      <c r="F328" s="67"/>
      <c r="G328" s="67"/>
      <c r="H328" s="609" t="s">
        <v>387</v>
      </c>
      <c r="I328" s="610"/>
      <c r="J328" s="380">
        <f>J323</f>
        <v>635353.15455245343</v>
      </c>
      <c r="K328" s="617"/>
      <c r="L328" s="609" t="s">
        <v>390</v>
      </c>
      <c r="M328" s="610"/>
      <c r="N328" s="610"/>
      <c r="O328" s="540">
        <f>J330</f>
        <v>589160.15455245343</v>
      </c>
      <c r="P328" s="67"/>
    </row>
    <row r="329" spans="1:16" ht="17.600000000000001" customHeight="1" outlineLevel="1">
      <c r="B329" s="67"/>
      <c r="C329" s="67"/>
      <c r="D329" s="67"/>
      <c r="E329" s="67"/>
      <c r="F329" s="67"/>
      <c r="G329" s="67"/>
      <c r="H329" s="615" t="s">
        <v>391</v>
      </c>
      <c r="I329" s="258"/>
      <c r="J329" s="233">
        <f>'Balance Sheet'!H69</f>
        <v>-46193</v>
      </c>
      <c r="K329" s="617"/>
      <c r="L329" s="615" t="s">
        <v>392</v>
      </c>
      <c r="M329" s="258"/>
      <c r="N329" s="618" t="s">
        <v>393</v>
      </c>
      <c r="O329" s="619">
        <f>Inputs!F107</f>
        <v>2430</v>
      </c>
      <c r="P329" s="67"/>
    </row>
    <row r="330" spans="1:16" ht="17.600000000000001" customHeight="1" outlineLevel="1">
      <c r="B330" s="67"/>
      <c r="C330" s="67"/>
      <c r="D330" s="67"/>
      <c r="E330" s="67"/>
      <c r="F330" s="67"/>
      <c r="G330" s="67"/>
      <c r="H330" s="615" t="s">
        <v>390</v>
      </c>
      <c r="I330" s="258"/>
      <c r="J330" s="380">
        <f>SUM(J328:J329)</f>
        <v>589160.15455245343</v>
      </c>
      <c r="K330" s="617"/>
      <c r="L330" s="615" t="s">
        <v>390</v>
      </c>
      <c r="M330" s="258"/>
      <c r="N330" s="620" t="s">
        <v>394</v>
      </c>
      <c r="O330" s="621">
        <f>O328/O329</f>
        <v>242.45273849895202</v>
      </c>
      <c r="P330" s="67"/>
    </row>
    <row r="331" spans="1:16" ht="17.600000000000001" customHeight="1" outlineLevel="1">
      <c r="B331" s="67"/>
      <c r="C331" s="363"/>
      <c r="D331" s="67"/>
      <c r="E331" s="67"/>
      <c r="F331" s="67"/>
      <c r="G331" s="67"/>
      <c r="H331" s="610"/>
      <c r="I331" s="610"/>
      <c r="J331" s="610"/>
      <c r="K331" s="258"/>
      <c r="L331" s="610"/>
      <c r="M331" s="610"/>
      <c r="N331" s="610"/>
      <c r="O331" s="610"/>
      <c r="P331" s="67"/>
    </row>
    <row r="332" spans="1:16" ht="17.600000000000001" customHeight="1" outlineLevel="1">
      <c r="B332" s="230"/>
      <c r="C332" s="26"/>
      <c r="D332" s="30"/>
      <c r="E332" s="30"/>
      <c r="F332" s="30"/>
      <c r="G332" s="30"/>
      <c r="H332" s="622"/>
      <c r="I332" s="622"/>
      <c r="J332" s="622"/>
      <c r="K332" s="623"/>
      <c r="L332" s="623"/>
      <c r="M332" s="623"/>
      <c r="N332" s="623"/>
      <c r="O332" s="624" t="s">
        <v>395</v>
      </c>
      <c r="P332" s="230"/>
    </row>
    <row r="333" spans="1:16" ht="17.600000000000001" customHeight="1" outlineLevel="1"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</row>
    <row r="334" spans="1:16" ht="17.600000000000001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7.600000000000001" customHeight="1">
      <c r="A335" s="161" t="s">
        <v>132</v>
      </c>
      <c r="B335" s="21" t="s">
        <v>396</v>
      </c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</row>
    <row r="336" spans="1:16" ht="17.600000000000001" customHeight="1" outlineLevel="1">
      <c r="B336" s="25"/>
      <c r="C336" s="26"/>
      <c r="D336" s="27"/>
      <c r="E336" s="230"/>
      <c r="F336" s="230"/>
      <c r="G336" s="230"/>
      <c r="H336" s="230"/>
      <c r="I336" s="230"/>
      <c r="J336" s="230"/>
      <c r="K336" s="230"/>
      <c r="L336" s="230"/>
      <c r="M336" s="230"/>
      <c r="N336" s="230"/>
      <c r="O336" s="1"/>
      <c r="P336" s="1"/>
    </row>
    <row r="337" spans="2:16" ht="17.600000000000001" customHeight="1" outlineLevel="1">
      <c r="B337" s="29" t="s">
        <v>6</v>
      </c>
      <c r="C337" s="26"/>
      <c r="D337" s="27"/>
      <c r="E337" s="27"/>
      <c r="F337" s="28"/>
      <c r="G337" s="28"/>
      <c r="H337" s="28"/>
      <c r="I337" s="28"/>
      <c r="J337" s="28"/>
      <c r="K337" s="28"/>
      <c r="L337" s="28"/>
      <c r="M337" s="28"/>
      <c r="N337" s="28"/>
      <c r="O337" s="1"/>
      <c r="P337" s="1"/>
    </row>
    <row r="338" spans="2:16" ht="17.600000000000001" customHeight="1" outlineLevel="1">
      <c r="B338" s="29" t="str">
        <f>$B$6</f>
        <v>Model Running: Base Case Drivers</v>
      </c>
      <c r="C338" s="230"/>
      <c r="D338" s="230"/>
      <c r="E338" s="230"/>
      <c r="F338" s="230"/>
      <c r="G338" s="27"/>
      <c r="H338" s="28"/>
      <c r="I338" s="28"/>
      <c r="J338" s="581" t="s">
        <v>370</v>
      </c>
      <c r="K338" s="582" t="s">
        <v>371</v>
      </c>
      <c r="L338" s="583"/>
      <c r="M338" s="583"/>
      <c r="N338" s="583"/>
      <c r="O338" s="583"/>
      <c r="P338" s="584" t="s">
        <v>241</v>
      </c>
    </row>
    <row r="339" spans="2:16" ht="17.600000000000001" customHeight="1" outlineLevel="1">
      <c r="B339" s="230"/>
      <c r="C339" s="230"/>
      <c r="D339" s="230"/>
      <c r="E339" s="230"/>
      <c r="F339" s="230"/>
      <c r="G339" s="30"/>
      <c r="H339" s="230"/>
      <c r="I339" s="230"/>
      <c r="J339" s="585" t="s">
        <v>372</v>
      </c>
      <c r="K339" s="586" t="s">
        <v>372</v>
      </c>
      <c r="L339" s="587" t="s">
        <v>372</v>
      </c>
      <c r="M339" s="587" t="s">
        <v>372</v>
      </c>
      <c r="N339" s="587" t="s">
        <v>372</v>
      </c>
      <c r="O339" s="587" t="s">
        <v>372</v>
      </c>
      <c r="P339" s="588" t="s">
        <v>372</v>
      </c>
    </row>
    <row r="340" spans="2:16" ht="17.600000000000001" customHeight="1" outlineLevel="1">
      <c r="B340" s="452" t="s">
        <v>397</v>
      </c>
      <c r="C340" s="625">
        <f>Outputs!$O$47</f>
        <v>16</v>
      </c>
      <c r="D340" s="626"/>
      <c r="E340" s="230"/>
      <c r="F340" s="230"/>
      <c r="G340" s="30"/>
      <c r="H340" s="590" t="s">
        <v>374</v>
      </c>
      <c r="I340" s="230"/>
      <c r="J340" s="591">
        <f>Inputs!F98</f>
        <v>45920</v>
      </c>
      <c r="K340" s="592">
        <f>Inputs!F100</f>
        <v>46053</v>
      </c>
      <c r="L340" s="593">
        <f t="shared" ref="L340:P341" si="120">EDATE(K340,12)</f>
        <v>46418</v>
      </c>
      <c r="M340" s="593">
        <f t="shared" si="120"/>
        <v>46783</v>
      </c>
      <c r="N340" s="593">
        <f t="shared" si="120"/>
        <v>47149</v>
      </c>
      <c r="O340" s="593">
        <f t="shared" si="120"/>
        <v>47514</v>
      </c>
      <c r="P340" s="594">
        <f t="shared" si="120"/>
        <v>47879</v>
      </c>
    </row>
    <row r="341" spans="2:16" ht="17.600000000000001" customHeight="1" outlineLevel="1">
      <c r="B341" s="512" t="s">
        <v>277</v>
      </c>
      <c r="C341" s="595">
        <f>Outputs!$O$48</f>
        <v>0.10320887088169083</v>
      </c>
      <c r="D341" s="627"/>
      <c r="E341" s="27"/>
      <c r="F341" s="27"/>
      <c r="G341" s="30"/>
      <c r="H341" s="590" t="s">
        <v>375</v>
      </c>
      <c r="I341" s="230"/>
      <c r="J341" s="596">
        <f>J340</f>
        <v>45920</v>
      </c>
      <c r="K341" s="597">
        <f>Inputs!F99</f>
        <v>46053</v>
      </c>
      <c r="L341" s="598">
        <f t="shared" si="120"/>
        <v>46418</v>
      </c>
      <c r="M341" s="598">
        <f t="shared" si="120"/>
        <v>46783</v>
      </c>
      <c r="N341" s="598">
        <f t="shared" si="120"/>
        <v>47149</v>
      </c>
      <c r="O341" s="598">
        <f t="shared" si="120"/>
        <v>47514</v>
      </c>
      <c r="P341" s="599">
        <f t="shared" si="120"/>
        <v>47879</v>
      </c>
    </row>
    <row r="342" spans="2:16" ht="17.600000000000001" customHeight="1" outlineLevel="1">
      <c r="B342" s="25"/>
      <c r="C342" s="26"/>
      <c r="D342" s="26"/>
      <c r="E342" s="27"/>
      <c r="F342" s="27"/>
      <c r="G342" s="27"/>
      <c r="H342" s="28"/>
      <c r="I342" s="28"/>
      <c r="J342" s="28"/>
      <c r="K342" s="28"/>
      <c r="L342" s="28"/>
      <c r="M342" s="28"/>
      <c r="N342" s="28"/>
      <c r="O342" s="28"/>
      <c r="P342" s="28"/>
    </row>
    <row r="343" spans="2:16" ht="17.600000000000001" customHeight="1" outlineLevel="1">
      <c r="B343" s="91" t="s">
        <v>234</v>
      </c>
      <c r="C343" s="360"/>
      <c r="D343" s="360"/>
      <c r="E343" s="622"/>
      <c r="F343" s="622"/>
      <c r="G343" s="622"/>
      <c r="H343" s="363"/>
      <c r="I343" s="363"/>
      <c r="J343" s="628"/>
      <c r="K343" s="380">
        <f>K283</f>
        <v>10306.407312739731</v>
      </c>
      <c r="L343" s="380">
        <f t="shared" ref="L343:P343" si="121">L283</f>
        <v>9768.9560764849339</v>
      </c>
      <c r="M343" s="380">
        <f t="shared" si="121"/>
        <v>17538.514006196863</v>
      </c>
      <c r="N343" s="380">
        <f t="shared" si="121"/>
        <v>35797.402270026374</v>
      </c>
      <c r="O343" s="380">
        <f t="shared" si="121"/>
        <v>50684.09129446296</v>
      </c>
      <c r="P343" s="629">
        <f t="shared" si="121"/>
        <v>61896.221188120318</v>
      </c>
    </row>
    <row r="344" spans="2:16" ht="17.600000000000001" customHeight="1" outlineLevel="1">
      <c r="B344" s="91" t="s">
        <v>2</v>
      </c>
      <c r="C344" s="360"/>
      <c r="D344" s="360"/>
      <c r="E344" s="622"/>
      <c r="F344" s="622"/>
      <c r="G344" s="622"/>
      <c r="H344" s="363"/>
      <c r="I344" s="363"/>
      <c r="J344" s="630"/>
      <c r="K344" s="517"/>
      <c r="L344" s="517"/>
      <c r="M344" s="517"/>
      <c r="N344" s="517"/>
      <c r="O344" s="394"/>
      <c r="P344" s="631">
        <f>P52</f>
        <v>83774.732081536727</v>
      </c>
    </row>
    <row r="345" spans="2:16" ht="17.600000000000001" customHeight="1" outlineLevel="1">
      <c r="B345" s="230"/>
      <c r="C345" s="230"/>
      <c r="D345" s="230"/>
      <c r="E345" s="230"/>
      <c r="F345" s="230"/>
      <c r="G345" s="230"/>
      <c r="H345" s="230"/>
      <c r="I345" s="230"/>
      <c r="J345" s="230"/>
      <c r="K345" s="230"/>
      <c r="L345" s="230"/>
      <c r="M345" s="230"/>
      <c r="N345" s="230"/>
      <c r="O345" s="230"/>
      <c r="P345" s="230"/>
    </row>
    <row r="346" spans="2:16" ht="17.600000000000001" customHeight="1" outlineLevel="1">
      <c r="B346" s="474" t="s">
        <v>376</v>
      </c>
      <c r="C346" s="230"/>
      <c r="D346" s="230"/>
      <c r="E346" s="230"/>
      <c r="F346" s="230"/>
      <c r="G346" s="30"/>
      <c r="H346" s="67"/>
      <c r="I346" s="67"/>
      <c r="J346" s="67"/>
      <c r="K346" s="67"/>
      <c r="L346" s="67"/>
      <c r="M346" s="67"/>
      <c r="N346" s="67"/>
      <c r="O346" s="67"/>
      <c r="P346" s="67"/>
    </row>
    <row r="347" spans="2:16" ht="17.600000000000001" customHeight="1" outlineLevel="1">
      <c r="B347" s="502" t="s">
        <v>371</v>
      </c>
      <c r="C347" s="230"/>
      <c r="D347" s="230"/>
      <c r="E347" s="603"/>
      <c r="F347" s="603"/>
      <c r="G347" s="30"/>
      <c r="H347" s="632" t="s">
        <v>398</v>
      </c>
      <c r="I347" s="363"/>
      <c r="J347" s="410">
        <v>0</v>
      </c>
      <c r="K347" s="424">
        <f t="shared" ref="K347:P347" si="122">K343</f>
        <v>10306.407312739731</v>
      </c>
      <c r="L347" s="424">
        <f t="shared" si="122"/>
        <v>9768.9560764849339</v>
      </c>
      <c r="M347" s="424">
        <f t="shared" si="122"/>
        <v>17538.514006196863</v>
      </c>
      <c r="N347" s="424">
        <f t="shared" si="122"/>
        <v>35797.402270026374</v>
      </c>
      <c r="O347" s="424">
        <f t="shared" si="122"/>
        <v>50684.09129446296</v>
      </c>
      <c r="P347" s="424">
        <f t="shared" si="122"/>
        <v>61896.221188120318</v>
      </c>
    </row>
    <row r="348" spans="2:16" ht="17.600000000000001" customHeight="1" outlineLevel="1">
      <c r="B348" s="502" t="s">
        <v>475</v>
      </c>
      <c r="C348" s="230"/>
      <c r="D348" s="230"/>
      <c r="E348" s="30"/>
      <c r="F348" s="30"/>
      <c r="G348" s="30"/>
      <c r="H348" s="633" t="s">
        <v>399</v>
      </c>
      <c r="I348" s="363"/>
      <c r="J348" s="604">
        <v>0</v>
      </c>
      <c r="K348" s="604">
        <v>0</v>
      </c>
      <c r="L348" s="604">
        <v>0</v>
      </c>
      <c r="M348" s="604">
        <v>0</v>
      </c>
      <c r="N348" s="604">
        <v>0</v>
      </c>
      <c r="O348" s="604">
        <v>0</v>
      </c>
      <c r="P348" s="500">
        <f>(P344*C340)/(1+C341)^H349</f>
        <v>1340395.7133045876</v>
      </c>
    </row>
    <row r="349" spans="2:16" ht="17.600000000000001" customHeight="1" outlineLevel="1">
      <c r="B349" s="502" t="s">
        <v>378</v>
      </c>
      <c r="C349" s="230"/>
      <c r="D349" s="230"/>
      <c r="E349" s="563"/>
      <c r="F349" s="563"/>
      <c r="G349" s="563"/>
      <c r="H349" s="634">
        <f>YEARFRAC(P341,P340)</f>
        <v>0</v>
      </c>
      <c r="I349" s="363"/>
      <c r="J349" s="424">
        <f t="shared" ref="J349:P349" si="123">SUM(J347:J348)</f>
        <v>0</v>
      </c>
      <c r="K349" s="424">
        <f t="shared" si="123"/>
        <v>10306.407312739731</v>
      </c>
      <c r="L349" s="424">
        <f t="shared" si="123"/>
        <v>9768.9560764849339</v>
      </c>
      <c r="M349" s="424">
        <f t="shared" si="123"/>
        <v>17538.514006196863</v>
      </c>
      <c r="N349" s="424">
        <f t="shared" si="123"/>
        <v>35797.402270026374</v>
      </c>
      <c r="O349" s="424">
        <f t="shared" si="123"/>
        <v>50684.09129446296</v>
      </c>
      <c r="P349" s="424">
        <f t="shared" si="123"/>
        <v>1402291.934492708</v>
      </c>
    </row>
    <row r="350" spans="2:16" ht="17.600000000000001" customHeight="1" outlineLevel="1">
      <c r="B350" s="474"/>
      <c r="C350" s="230"/>
      <c r="D350" s="230"/>
      <c r="E350" s="30"/>
      <c r="F350" s="30"/>
      <c r="G350" s="30"/>
      <c r="H350" s="565"/>
      <c r="I350" s="565"/>
      <c r="J350" s="565"/>
      <c r="K350" s="565"/>
      <c r="L350" s="565"/>
      <c r="M350" s="565"/>
      <c r="N350" s="565"/>
      <c r="O350" s="67"/>
      <c r="P350" s="67"/>
    </row>
    <row r="351" spans="2:16" ht="17.600000000000001" customHeight="1" outlineLevel="1">
      <c r="B351" s="474" t="s">
        <v>379</v>
      </c>
      <c r="C351" s="230"/>
      <c r="D351" s="230"/>
      <c r="E351" s="30"/>
      <c r="F351" s="30"/>
      <c r="G351" s="30"/>
      <c r="H351" s="565"/>
      <c r="I351" s="565"/>
      <c r="J351" s="410"/>
      <c r="K351" s="635"/>
      <c r="L351" s="635"/>
      <c r="M351" s="635"/>
      <c r="N351" s="635"/>
      <c r="O351" s="635"/>
      <c r="P351" s="635"/>
    </row>
    <row r="352" spans="2:16" ht="17.600000000000001" customHeight="1" outlineLevel="1">
      <c r="B352" s="502" t="s">
        <v>380</v>
      </c>
      <c r="C352" s="230"/>
      <c r="D352" s="230"/>
      <c r="E352" s="30"/>
      <c r="F352" s="30"/>
      <c r="G352" s="30"/>
      <c r="H352" s="565"/>
      <c r="I352" s="565"/>
      <c r="J352" s="410">
        <v>0</v>
      </c>
      <c r="K352" s="635">
        <f t="shared" ref="K352:O352" si="124">YEARFRAC(K340,J340)</f>
        <v>0.36388888888888887</v>
      </c>
      <c r="L352" s="635">
        <f t="shared" si="124"/>
        <v>1</v>
      </c>
      <c r="M352" s="635">
        <f t="shared" si="124"/>
        <v>1</v>
      </c>
      <c r="N352" s="635">
        <f t="shared" si="124"/>
        <v>1</v>
      </c>
      <c r="O352" s="635">
        <f t="shared" si="124"/>
        <v>1</v>
      </c>
      <c r="P352" s="635">
        <f>YEARFRAC(P340,O340)</f>
        <v>1</v>
      </c>
    </row>
    <row r="353" spans="2:16" ht="17.600000000000001" customHeight="1" outlineLevel="1">
      <c r="B353" s="502"/>
      <c r="C353" s="230"/>
      <c r="D353" s="230"/>
      <c r="E353" s="30"/>
      <c r="F353" s="30"/>
      <c r="G353" s="30"/>
      <c r="H353" s="565"/>
      <c r="I353" s="565"/>
      <c r="J353" s="410"/>
      <c r="K353" s="635"/>
      <c r="L353" s="635"/>
      <c r="M353" s="635"/>
      <c r="N353" s="635"/>
      <c r="O353" s="635"/>
      <c r="P353" s="635"/>
    </row>
    <row r="354" spans="2:16" ht="17.600000000000001" customHeight="1" outlineLevel="1">
      <c r="B354" s="104" t="s">
        <v>371</v>
      </c>
      <c r="C354" s="230"/>
      <c r="D354" s="230"/>
      <c r="E354" s="30"/>
      <c r="F354" s="30"/>
      <c r="G354" s="30"/>
      <c r="H354" s="565"/>
      <c r="I354" s="565"/>
      <c r="J354" s="410">
        <v>0</v>
      </c>
      <c r="K354" s="424">
        <f>K347*K$352</f>
        <v>3750.3871054691799</v>
      </c>
      <c r="L354" s="424">
        <f t="shared" ref="L354:P355" si="125">L347*L$352</f>
        <v>9768.9560764849339</v>
      </c>
      <c r="M354" s="424">
        <f t="shared" si="125"/>
        <v>17538.514006196863</v>
      </c>
      <c r="N354" s="424">
        <f t="shared" si="125"/>
        <v>35797.402270026374</v>
      </c>
      <c r="O354" s="424">
        <f t="shared" si="125"/>
        <v>50684.09129446296</v>
      </c>
      <c r="P354" s="424">
        <f t="shared" si="125"/>
        <v>61896.221188120318</v>
      </c>
    </row>
    <row r="355" spans="2:16" ht="17.600000000000001" customHeight="1" outlineLevel="1">
      <c r="B355" s="104" t="s">
        <v>377</v>
      </c>
      <c r="C355" s="230"/>
      <c r="D355" s="230"/>
      <c r="E355" s="30"/>
      <c r="F355" s="30"/>
      <c r="G355" s="30"/>
      <c r="H355" s="565"/>
      <c r="I355" s="565"/>
      <c r="J355" s="604">
        <v>0</v>
      </c>
      <c r="K355" s="424">
        <f>K348*K$352</f>
        <v>0</v>
      </c>
      <c r="L355" s="424">
        <f t="shared" si="125"/>
        <v>0</v>
      </c>
      <c r="M355" s="424">
        <f t="shared" si="125"/>
        <v>0</v>
      </c>
      <c r="N355" s="424">
        <f t="shared" si="125"/>
        <v>0</v>
      </c>
      <c r="O355" s="424">
        <f t="shared" si="125"/>
        <v>0</v>
      </c>
      <c r="P355" s="424">
        <f t="shared" si="125"/>
        <v>1340395.7133045876</v>
      </c>
    </row>
    <row r="356" spans="2:16" ht="17.600000000000001" customHeight="1" outlineLevel="1">
      <c r="B356" s="104" t="s">
        <v>378</v>
      </c>
      <c r="C356" s="230"/>
      <c r="D356" s="230"/>
      <c r="E356" s="30"/>
      <c r="F356" s="30"/>
      <c r="G356" s="30"/>
      <c r="H356" s="565"/>
      <c r="I356" s="565"/>
      <c r="J356" s="424">
        <f t="shared" ref="J356:P356" si="126">SUM(J354:J355)</f>
        <v>0</v>
      </c>
      <c r="K356" s="425">
        <f t="shared" si="126"/>
        <v>3750.3871054691799</v>
      </c>
      <c r="L356" s="425">
        <f t="shared" si="126"/>
        <v>9768.9560764849339</v>
      </c>
      <c r="M356" s="425">
        <f t="shared" si="126"/>
        <v>17538.514006196863</v>
      </c>
      <c r="N356" s="425">
        <f t="shared" si="126"/>
        <v>35797.402270026374</v>
      </c>
      <c r="O356" s="425">
        <f t="shared" si="126"/>
        <v>50684.09129446296</v>
      </c>
      <c r="P356" s="425">
        <f t="shared" si="126"/>
        <v>1402291.934492708</v>
      </c>
    </row>
    <row r="357" spans="2:16" ht="17.600000000000001" customHeight="1" outlineLevel="1">
      <c r="B357" s="502"/>
      <c r="C357" s="230"/>
      <c r="D357" s="230"/>
      <c r="E357" s="30"/>
      <c r="F357" s="30"/>
      <c r="G357" s="30"/>
      <c r="H357" s="565"/>
      <c r="I357" s="565"/>
      <c r="J357" s="410"/>
      <c r="K357" s="635"/>
      <c r="L357" s="635"/>
      <c r="M357" s="635"/>
      <c r="N357" s="635"/>
      <c r="O357" s="635"/>
      <c r="P357" s="635"/>
    </row>
    <row r="358" spans="2:16" ht="17.600000000000001" customHeight="1" outlineLevel="1">
      <c r="B358" s="474" t="s">
        <v>381</v>
      </c>
      <c r="C358" s="230"/>
      <c r="D358" s="230"/>
      <c r="E358" s="30"/>
      <c r="F358" s="30"/>
      <c r="G358" s="30"/>
      <c r="H358" s="565"/>
      <c r="I358" s="565"/>
      <c r="J358" s="410"/>
      <c r="K358" s="635"/>
      <c r="L358" s="635"/>
      <c r="M358" s="635"/>
      <c r="N358" s="635"/>
      <c r="O358" s="635"/>
      <c r="P358" s="635"/>
    </row>
    <row r="359" spans="2:16" ht="17.600000000000001" customHeight="1" outlineLevel="1">
      <c r="B359" s="502" t="s">
        <v>382</v>
      </c>
      <c r="C359" s="230"/>
      <c r="D359" s="230"/>
      <c r="E359" s="30"/>
      <c r="F359" s="30"/>
      <c r="G359" s="30"/>
      <c r="H359" s="565"/>
      <c r="I359" s="565"/>
      <c r="J359" s="98">
        <v>0</v>
      </c>
      <c r="K359" s="387">
        <f t="shared" ref="K359:P359" si="127">J359+YEARFRAC(J341,K341)</f>
        <v>0.36388888888888887</v>
      </c>
      <c r="L359" s="387">
        <f t="shared" si="127"/>
        <v>1.3638888888888889</v>
      </c>
      <c r="M359" s="387">
        <f t="shared" si="127"/>
        <v>2.3638888888888889</v>
      </c>
      <c r="N359" s="387">
        <f t="shared" si="127"/>
        <v>3.3638888888888889</v>
      </c>
      <c r="O359" s="387">
        <f t="shared" si="127"/>
        <v>4.3638888888888889</v>
      </c>
      <c r="P359" s="387">
        <f t="shared" si="127"/>
        <v>5.3638888888888889</v>
      </c>
    </row>
    <row r="360" spans="2:16" ht="17.600000000000001" customHeight="1" outlineLevel="1">
      <c r="B360" s="502"/>
      <c r="C360" s="230"/>
      <c r="D360" s="230"/>
      <c r="E360" s="30"/>
      <c r="F360" s="30"/>
      <c r="G360" s="30"/>
      <c r="H360" s="565"/>
      <c r="I360" s="565"/>
      <c r="J360" s="98"/>
      <c r="K360" s="387"/>
      <c r="L360" s="387"/>
      <c r="M360" s="387"/>
      <c r="N360" s="387"/>
      <c r="O360" s="387"/>
      <c r="P360" s="387"/>
    </row>
    <row r="361" spans="2:16" ht="17.600000000000001" customHeight="1" outlineLevel="1">
      <c r="B361" s="104" t="s">
        <v>371</v>
      </c>
      <c r="C361" s="230"/>
      <c r="D361" s="230"/>
      <c r="E361" s="30"/>
      <c r="F361" s="30"/>
      <c r="G361" s="30"/>
      <c r="H361" s="565"/>
      <c r="I361" s="565"/>
      <c r="J361" s="396">
        <v>0</v>
      </c>
      <c r="K361" s="233">
        <f>K354/(1+$C$341)^K$359</f>
        <v>3618.7069729539899</v>
      </c>
      <c r="L361" s="233">
        <f t="shared" ref="L361:P362" si="128">L354/(1+$C$341)^L$359</f>
        <v>8544.1277267241148</v>
      </c>
      <c r="M361" s="233">
        <f t="shared" si="128"/>
        <v>13904.475900139871</v>
      </c>
      <c r="N361" s="233">
        <f t="shared" si="128"/>
        <v>25725.012623043025</v>
      </c>
      <c r="O361" s="233">
        <f t="shared" si="128"/>
        <v>33015.509489886994</v>
      </c>
      <c r="P361" s="233">
        <f t="shared" si="128"/>
        <v>36547.083846532427</v>
      </c>
    </row>
    <row r="362" spans="2:16" ht="17.600000000000001" customHeight="1" outlineLevel="1">
      <c r="B362" s="104" t="s">
        <v>377</v>
      </c>
      <c r="C362" s="230"/>
      <c r="D362" s="230"/>
      <c r="E362" s="30"/>
      <c r="F362" s="30"/>
      <c r="G362" s="30"/>
      <c r="H362" s="565"/>
      <c r="I362" s="565"/>
      <c r="J362" s="394">
        <v>0</v>
      </c>
      <c r="K362" s="233">
        <f>K355/(1+$C$341)^K$359</f>
        <v>0</v>
      </c>
      <c r="L362" s="233">
        <f t="shared" si="128"/>
        <v>0</v>
      </c>
      <c r="M362" s="233">
        <f t="shared" si="128"/>
        <v>0</v>
      </c>
      <c r="N362" s="233">
        <f t="shared" si="128"/>
        <v>0</v>
      </c>
      <c r="O362" s="233">
        <f t="shared" si="128"/>
        <v>0</v>
      </c>
      <c r="P362" s="233">
        <f t="shared" si="128"/>
        <v>791446.6114625677</v>
      </c>
    </row>
    <row r="363" spans="2:16" ht="17.600000000000001" customHeight="1" outlineLevel="1">
      <c r="B363" s="104" t="s">
        <v>378</v>
      </c>
      <c r="C363" s="230"/>
      <c r="D363" s="230"/>
      <c r="E363" s="30"/>
      <c r="F363" s="30"/>
      <c r="G363" s="30"/>
      <c r="H363" s="565"/>
      <c r="I363" s="565"/>
      <c r="J363" s="424">
        <f t="shared" ref="J363:P363" si="129">SUM(J361:J362)</f>
        <v>0</v>
      </c>
      <c r="K363" s="425">
        <f t="shared" si="129"/>
        <v>3618.7069729539899</v>
      </c>
      <c r="L363" s="425">
        <f t="shared" si="129"/>
        <v>8544.1277267241148</v>
      </c>
      <c r="M363" s="425">
        <f t="shared" si="129"/>
        <v>13904.475900139871</v>
      </c>
      <c r="N363" s="425">
        <f t="shared" si="129"/>
        <v>25725.012623043025</v>
      </c>
      <c r="O363" s="425">
        <f t="shared" si="129"/>
        <v>33015.509489886994</v>
      </c>
      <c r="P363" s="425">
        <f t="shared" si="129"/>
        <v>827993.69530910009</v>
      </c>
    </row>
    <row r="364" spans="2:16" ht="17.600000000000001" customHeight="1" outlineLevel="1">
      <c r="B364" s="104"/>
      <c r="C364" s="230"/>
      <c r="D364" s="230"/>
      <c r="E364" s="30"/>
      <c r="F364" s="30"/>
      <c r="G364" s="30"/>
      <c r="H364" s="565"/>
      <c r="I364" s="565"/>
      <c r="J364" s="410"/>
      <c r="K364" s="635"/>
      <c r="L364" s="635"/>
      <c r="M364" s="635"/>
      <c r="N364" s="635"/>
      <c r="O364" s="635"/>
      <c r="P364" s="635"/>
    </row>
    <row r="365" spans="2:16" ht="17.600000000000001" customHeight="1" outlineLevel="1">
      <c r="B365" s="502"/>
      <c r="C365" s="230"/>
      <c r="D365" s="230"/>
      <c r="E365" s="563"/>
      <c r="F365" s="563"/>
      <c r="G365" s="563"/>
      <c r="H365" s="363"/>
      <c r="I365" s="363"/>
      <c r="J365" s="424"/>
      <c r="K365" s="424"/>
      <c r="L365" s="424"/>
      <c r="M365" s="424"/>
      <c r="N365" s="424"/>
      <c r="O365" s="424"/>
      <c r="P365" s="424"/>
    </row>
    <row r="366" spans="2:16" ht="17.600000000000001" customHeight="1" outlineLevel="1">
      <c r="B366" s="474"/>
      <c r="C366" s="230"/>
      <c r="D366" s="230"/>
      <c r="E366" s="30"/>
      <c r="F366" s="30"/>
      <c r="G366" s="30"/>
      <c r="H366" s="474" t="s">
        <v>383</v>
      </c>
      <c r="I366" s="222"/>
      <c r="J366" s="519"/>
      <c r="K366" s="363"/>
      <c r="L366" s="32" t="s">
        <v>383</v>
      </c>
      <c r="M366" s="608"/>
      <c r="N366" s="258"/>
      <c r="O366" s="258"/>
      <c r="P366" s="363"/>
    </row>
    <row r="367" spans="2:16" ht="17.600000000000001" customHeight="1" outlineLevel="1">
      <c r="B367" s="502"/>
      <c r="C367" s="230"/>
      <c r="D367" s="230"/>
      <c r="E367" s="30"/>
      <c r="F367" s="30"/>
      <c r="G367" s="30"/>
      <c r="H367" s="636" t="s">
        <v>384</v>
      </c>
      <c r="I367" s="453"/>
      <c r="J367" s="540">
        <f>SUM(K363:P363)</f>
        <v>912801.52802184806</v>
      </c>
      <c r="K367" s="233"/>
      <c r="L367" s="609" t="s">
        <v>385</v>
      </c>
      <c r="M367" s="610"/>
      <c r="N367" s="611">
        <f t="shared" ref="N367:N368" si="130">O367/$O$369</f>
        <v>0.13294775790118504</v>
      </c>
      <c r="O367" s="540">
        <f>SUM(K361:P361)</f>
        <v>121354.91655928042</v>
      </c>
      <c r="P367" s="233"/>
    </row>
    <row r="368" spans="2:16" ht="17.600000000000001" customHeight="1" outlineLevel="1">
      <c r="B368" s="502"/>
      <c r="C368" s="67"/>
      <c r="D368" s="67"/>
      <c r="E368" s="563"/>
      <c r="F368" s="563"/>
      <c r="G368" s="563"/>
      <c r="H368" s="637" t="s">
        <v>476</v>
      </c>
      <c r="I368" s="305"/>
      <c r="J368" s="614">
        <f>XNPV(C341,J356:P356,J341:P341)</f>
        <v>912518.59729774133</v>
      </c>
      <c r="K368" s="233"/>
      <c r="L368" s="615" t="s">
        <v>386</v>
      </c>
      <c r="M368" s="258"/>
      <c r="N368" s="638">
        <f t="shared" si="130"/>
        <v>0.86705224209881504</v>
      </c>
      <c r="O368" s="614">
        <f>SUM(K362:P362)</f>
        <v>791446.6114625677</v>
      </c>
      <c r="P368" s="233"/>
    </row>
    <row r="369" spans="1:16" ht="17.600000000000001" customHeight="1" outlineLevel="1"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12" t="s">
        <v>387</v>
      </c>
      <c r="M369" s="613"/>
      <c r="N369" s="638">
        <f>O369/$O$369</f>
        <v>1</v>
      </c>
      <c r="O369" s="614">
        <f>SUM(O367:O368)</f>
        <v>912801.52802184806</v>
      </c>
      <c r="P369" s="67"/>
    </row>
    <row r="370" spans="1:16" ht="17.600000000000001" customHeight="1" outlineLevel="1"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</row>
    <row r="371" spans="1:16" ht="17.600000000000001" customHeight="1" outlineLevel="1"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</row>
    <row r="372" spans="1:16" ht="17.600000000000001" customHeight="1" outlineLevel="1">
      <c r="B372" s="67"/>
      <c r="C372" s="67"/>
      <c r="D372" s="67"/>
      <c r="E372" s="67"/>
      <c r="F372" s="67"/>
      <c r="G372" s="67"/>
      <c r="H372" s="474" t="s">
        <v>388</v>
      </c>
      <c r="I372" s="363"/>
      <c r="J372" s="67"/>
      <c r="K372" s="67"/>
      <c r="L372" s="474" t="s">
        <v>389</v>
      </c>
      <c r="M372" s="363"/>
      <c r="N372" s="67"/>
      <c r="O372" s="67"/>
      <c r="P372" s="67"/>
    </row>
    <row r="373" spans="1:16" ht="17.600000000000001" customHeight="1" outlineLevel="1">
      <c r="B373" s="67"/>
      <c r="C373" s="67"/>
      <c r="D373" s="67"/>
      <c r="E373" s="67"/>
      <c r="F373" s="67"/>
      <c r="G373" s="67"/>
      <c r="H373" s="636" t="s">
        <v>387</v>
      </c>
      <c r="I373" s="639"/>
      <c r="J373" s="540">
        <f>J368</f>
        <v>912518.59729774133</v>
      </c>
      <c r="K373" s="67"/>
      <c r="L373" s="636" t="s">
        <v>390</v>
      </c>
      <c r="M373" s="639"/>
      <c r="N373" s="639"/>
      <c r="O373" s="540">
        <f>J375</f>
        <v>866325.59729774133</v>
      </c>
      <c r="P373" s="67"/>
    </row>
    <row r="374" spans="1:16" ht="17.600000000000001" customHeight="1" outlineLevel="1">
      <c r="B374" s="67"/>
      <c r="C374" s="67"/>
      <c r="D374" s="67"/>
      <c r="E374" s="67"/>
      <c r="F374" s="67"/>
      <c r="G374" s="67"/>
      <c r="H374" s="615" t="s">
        <v>391</v>
      </c>
      <c r="I374" s="67"/>
      <c r="J374" s="640">
        <f>J329</f>
        <v>-46193</v>
      </c>
      <c r="K374" s="67"/>
      <c r="L374" s="641" t="s">
        <v>392</v>
      </c>
      <c r="M374" s="67"/>
      <c r="N374" s="642" t="s">
        <v>393</v>
      </c>
      <c r="O374" s="643">
        <f>Inputs!F107</f>
        <v>2430</v>
      </c>
      <c r="P374" s="67"/>
    </row>
    <row r="375" spans="1:16" ht="17.600000000000001" customHeight="1" outlineLevel="1">
      <c r="B375" s="67"/>
      <c r="C375" s="67"/>
      <c r="D375" s="67"/>
      <c r="E375" s="67"/>
      <c r="F375" s="67"/>
      <c r="G375" s="67"/>
      <c r="H375" s="637" t="s">
        <v>390</v>
      </c>
      <c r="I375" s="305"/>
      <c r="J375" s="614">
        <f>SUM(J373:J374)</f>
        <v>866325.59729774133</v>
      </c>
      <c r="K375" s="67"/>
      <c r="L375" s="637" t="s">
        <v>390</v>
      </c>
      <c r="M375" s="305"/>
      <c r="N375" s="644" t="s">
        <v>394</v>
      </c>
      <c r="O375" s="645">
        <f>O373/O374</f>
        <v>356.51259148055198</v>
      </c>
      <c r="P375" s="67"/>
    </row>
    <row r="376" spans="1:16" ht="17.600000000000001" customHeight="1" outlineLevel="1">
      <c r="B376" s="67"/>
      <c r="C376" s="363"/>
      <c r="D376" s="363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</row>
    <row r="377" spans="1:16" ht="17.600000000000001" customHeight="1" outlineLevel="1">
      <c r="B377" s="230"/>
      <c r="C377" s="26"/>
      <c r="D377" s="26"/>
      <c r="E377" s="30"/>
      <c r="F377" s="30"/>
      <c r="G377" s="30"/>
      <c r="H377" s="30"/>
      <c r="I377" s="30"/>
      <c r="J377" s="30"/>
      <c r="K377" s="63"/>
      <c r="L377" s="63"/>
      <c r="M377" s="63"/>
      <c r="N377" s="63"/>
      <c r="O377" s="304" t="s">
        <v>400</v>
      </c>
      <c r="P377" s="230"/>
    </row>
    <row r="378" spans="1:16" ht="17.600000000000001" customHeight="1" outlineLevel="1">
      <c r="B378" s="230"/>
      <c r="C378" s="26"/>
      <c r="D378" s="26"/>
      <c r="E378" s="30"/>
      <c r="F378" s="30"/>
      <c r="G378" s="30"/>
      <c r="H378" s="30"/>
      <c r="I378" s="30"/>
      <c r="J378" s="30"/>
      <c r="K378" s="63"/>
      <c r="L378" s="63"/>
      <c r="M378" s="63"/>
      <c r="N378" s="63"/>
      <c r="O378" s="504" t="s">
        <v>401</v>
      </c>
      <c r="P378" s="230"/>
    </row>
    <row r="379" spans="1:16" ht="17.600000000000001" customHeight="1" outlineLevel="1">
      <c r="B379" s="646"/>
      <c r="C379" s="374"/>
      <c r="D379" s="374"/>
      <c r="E379" s="376"/>
      <c r="F379" s="376"/>
      <c r="G379" s="376"/>
      <c r="H379" s="376"/>
      <c r="I379" s="376"/>
      <c r="J379" s="376"/>
      <c r="K379" s="516"/>
      <c r="L379" s="516"/>
      <c r="M379" s="516"/>
      <c r="N379" s="516"/>
      <c r="O379" s="647"/>
      <c r="P379" s="646"/>
    </row>
    <row r="380" spans="1:16" ht="17.600000000000001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7.600000000000001" customHeight="1">
      <c r="A381" s="161" t="s">
        <v>132</v>
      </c>
      <c r="B381" s="21" t="s">
        <v>458</v>
      </c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</row>
    <row r="382" spans="1:16" ht="17.600000000000001" customHeight="1" outlineLevel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7.600000000000001" customHeight="1" outlineLevel="1">
      <c r="B383" s="648"/>
      <c r="C383" s="648"/>
      <c r="D383" s="720" t="s">
        <v>427</v>
      </c>
      <c r="E383" s="720"/>
      <c r="F383" s="720"/>
      <c r="G383" s="720"/>
      <c r="H383" s="720"/>
      <c r="I383" s="720"/>
      <c r="J383" s="720"/>
      <c r="K383" s="720"/>
      <c r="L383" s="720"/>
      <c r="M383" s="648"/>
      <c r="N383" s="720" t="s">
        <v>370</v>
      </c>
      <c r="O383" s="720"/>
      <c r="P383" s="720"/>
    </row>
    <row r="384" spans="1:16" ht="17.600000000000001" customHeight="1" outlineLevel="1">
      <c r="B384" s="648" t="s">
        <v>428</v>
      </c>
      <c r="C384" s="648" t="s">
        <v>123</v>
      </c>
      <c r="D384" s="648" t="s">
        <v>429</v>
      </c>
      <c r="E384" s="648" t="s">
        <v>430</v>
      </c>
      <c r="F384" s="648" t="s">
        <v>390</v>
      </c>
      <c r="G384" s="648" t="s">
        <v>207</v>
      </c>
      <c r="H384" s="648" t="s">
        <v>387</v>
      </c>
      <c r="I384" s="649"/>
      <c r="J384" s="648" t="s">
        <v>133</v>
      </c>
      <c r="K384" s="648" t="s">
        <v>2</v>
      </c>
      <c r="L384" s="648" t="s">
        <v>5</v>
      </c>
      <c r="M384" s="648"/>
      <c r="N384" s="648" t="s">
        <v>431</v>
      </c>
      <c r="O384" s="648" t="s">
        <v>432</v>
      </c>
      <c r="P384" s="648" t="s">
        <v>433</v>
      </c>
    </row>
    <row r="385" spans="2:16" ht="17.600000000000001" customHeight="1" outlineLevel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2:16" ht="17.600000000000001" customHeight="1" outlineLevel="1">
      <c r="B386" s="650" t="s">
        <v>426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2:16" ht="17.600000000000001" customHeight="1" outlineLevel="1"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51"/>
      <c r="P387" s="651"/>
    </row>
    <row r="388" spans="2:16" ht="17.600000000000001" customHeight="1" outlineLevel="1">
      <c r="B388" s="652" t="s">
        <v>439</v>
      </c>
      <c r="C388" s="652" t="s">
        <v>445</v>
      </c>
      <c r="D388" s="653">
        <f>Inputs!F108</f>
        <v>176.67</v>
      </c>
      <c r="E388" s="653">
        <v>24300</v>
      </c>
      <c r="F388" s="653">
        <f>D388*E388</f>
        <v>4293081</v>
      </c>
      <c r="G388" s="653">
        <f>'Balance Sheet'!H69</f>
        <v>-46193</v>
      </c>
      <c r="H388" s="653">
        <f>F388+G388</f>
        <v>4246888</v>
      </c>
      <c r="I388" s="653"/>
      <c r="J388" s="653">
        <f>'Income Statement'!H11</f>
        <v>165218</v>
      </c>
      <c r="K388" s="653">
        <f>'Income Statement'!H73</f>
        <v>98281</v>
      </c>
      <c r="L388" s="653">
        <f>'Income Statement'!H48</f>
        <v>86597</v>
      </c>
      <c r="M388" s="654"/>
      <c r="N388" s="655">
        <f t="shared" ref="N388:O398" si="131">$H388/J388</f>
        <v>25.704753719328401</v>
      </c>
      <c r="O388" s="655">
        <f t="shared" si="131"/>
        <v>43.211688932754043</v>
      </c>
      <c r="P388" s="655">
        <f t="shared" ref="P388:P398" si="132">F388/L388</f>
        <v>49.575400995415542</v>
      </c>
    </row>
    <row r="389" spans="2:16" ht="17.600000000000001" customHeight="1" outlineLevel="1">
      <c r="B389" s="656" t="s">
        <v>119</v>
      </c>
      <c r="C389" s="657" t="s">
        <v>446</v>
      </c>
      <c r="D389" s="658">
        <v>344.94</v>
      </c>
      <c r="E389" s="658">
        <v>4722.365022</v>
      </c>
      <c r="F389" s="658">
        <f t="shared" ref="F389:F398" si="133">D389*E389</f>
        <v>1628932.5906886801</v>
      </c>
      <c r="G389" s="658">
        <v>53511</v>
      </c>
      <c r="H389" s="658">
        <v>1682443.590688</v>
      </c>
      <c r="I389" s="658"/>
      <c r="J389" s="658">
        <v>59926</v>
      </c>
      <c r="K389" s="658">
        <v>32929</v>
      </c>
      <c r="L389" s="658">
        <v>23739</v>
      </c>
      <c r="M389" s="709"/>
      <c r="N389" s="659">
        <f t="shared" si="131"/>
        <v>28.075352779895205</v>
      </c>
      <c r="O389" s="659">
        <f t="shared" si="131"/>
        <v>51.093066618725132</v>
      </c>
      <c r="P389" s="659">
        <f t="shared" si="132"/>
        <v>68.618416558771642</v>
      </c>
    </row>
    <row r="390" spans="2:16" ht="17.600000000000001" customHeight="1" outlineLevel="1">
      <c r="B390" s="656" t="s">
        <v>118</v>
      </c>
      <c r="C390" s="657" t="s">
        <v>447</v>
      </c>
      <c r="D390" s="658">
        <v>29.58</v>
      </c>
      <c r="E390" s="658">
        <v>4670.2615139999998</v>
      </c>
      <c r="F390" s="658">
        <f t="shared" si="133"/>
        <v>138146.33558411998</v>
      </c>
      <c r="G390" s="658">
        <v>15046</v>
      </c>
      <c r="H390" s="658">
        <v>175098.33558399999</v>
      </c>
      <c r="I390" s="658"/>
      <c r="J390" s="658">
        <v>53439</v>
      </c>
      <c r="K390" s="658">
        <v>10685</v>
      </c>
      <c r="L390" s="658">
        <v>-1473</v>
      </c>
      <c r="M390" s="709"/>
      <c r="N390" s="659">
        <f t="shared" si="131"/>
        <v>3.2766020244390797</v>
      </c>
      <c r="O390" s="659">
        <f t="shared" si="131"/>
        <v>16.387303283481515</v>
      </c>
      <c r="P390" s="659">
        <f t="shared" si="132"/>
        <v>-93.78569964977595</v>
      </c>
    </row>
    <row r="391" spans="2:16" ht="17.600000000000001" customHeight="1" outlineLevel="1">
      <c r="B391" s="656" t="s">
        <v>440</v>
      </c>
      <c r="C391" s="657" t="s">
        <v>448</v>
      </c>
      <c r="D391" s="658">
        <v>517.92999999999995</v>
      </c>
      <c r="E391" s="658">
        <v>7433.1663790000002</v>
      </c>
      <c r="F391" s="658">
        <f t="shared" si="133"/>
        <v>3849859.8626754698</v>
      </c>
      <c r="G391" s="658">
        <v>18363</v>
      </c>
      <c r="H391" s="658">
        <v>3867478.862675</v>
      </c>
      <c r="I391" s="658"/>
      <c r="J391" s="658">
        <v>293812</v>
      </c>
      <c r="K391" s="658">
        <v>168216</v>
      </c>
      <c r="L391" s="658">
        <v>131697</v>
      </c>
      <c r="M391" s="709"/>
      <c r="N391" s="659">
        <f t="shared" si="131"/>
        <v>13.16310723413271</v>
      </c>
      <c r="O391" s="659">
        <f t="shared" si="131"/>
        <v>22.991147469176536</v>
      </c>
      <c r="P391" s="659">
        <f t="shared" si="132"/>
        <v>29.232707371280057</v>
      </c>
    </row>
    <row r="392" spans="2:16" ht="17.600000000000001" customHeight="1" outlineLevel="1">
      <c r="B392" s="656" t="s">
        <v>117</v>
      </c>
      <c r="C392" s="657" t="s">
        <v>449</v>
      </c>
      <c r="D392" s="658">
        <v>157.38999999999999</v>
      </c>
      <c r="E392" s="658">
        <v>1622.843689</v>
      </c>
      <c r="F392" s="658">
        <f t="shared" si="133"/>
        <v>255419.36821170998</v>
      </c>
      <c r="G392" s="658">
        <v>-3373</v>
      </c>
      <c r="H392" s="658">
        <v>253438.36821099999</v>
      </c>
      <c r="I392" s="658"/>
      <c r="J392" s="658">
        <v>32027</v>
      </c>
      <c r="K392" s="658">
        <v>6363.75</v>
      </c>
      <c r="L392" s="658">
        <v>3083</v>
      </c>
      <c r="M392" s="709"/>
      <c r="N392" s="659">
        <f t="shared" si="131"/>
        <v>7.9132721831891839</v>
      </c>
      <c r="O392" s="659">
        <f t="shared" si="131"/>
        <v>39.825318123904928</v>
      </c>
      <c r="P392" s="659">
        <f t="shared" si="132"/>
        <v>82.847670519529672</v>
      </c>
    </row>
    <row r="393" spans="2:16" ht="17.600000000000001" customHeight="1" outlineLevel="1">
      <c r="B393" s="656" t="s">
        <v>441</v>
      </c>
      <c r="C393" s="657" t="s">
        <v>450</v>
      </c>
      <c r="D393" s="658">
        <v>254.72</v>
      </c>
      <c r="E393" s="658">
        <v>12094</v>
      </c>
      <c r="F393" s="658">
        <f t="shared" si="133"/>
        <v>3080583.68</v>
      </c>
      <c r="G393" s="658">
        <v>-54301</v>
      </c>
      <c r="H393" s="658">
        <v>3032927.28</v>
      </c>
      <c r="I393" s="658"/>
      <c r="J393" s="658">
        <v>385476</v>
      </c>
      <c r="K393" s="658">
        <v>150389</v>
      </c>
      <c r="L393" s="658">
        <v>126153</v>
      </c>
      <c r="M393" s="709"/>
      <c r="N393" s="659">
        <f t="shared" si="131"/>
        <v>7.8680054789403222</v>
      </c>
      <c r="O393" s="659">
        <f t="shared" si="131"/>
        <v>20.167214889386855</v>
      </c>
      <c r="P393" s="659">
        <f t="shared" si="132"/>
        <v>24.419424666872768</v>
      </c>
    </row>
    <row r="394" spans="2:16" ht="17.600000000000001" customHeight="1" outlineLevel="1">
      <c r="B394" s="656" t="s">
        <v>120</v>
      </c>
      <c r="C394" s="657" t="s">
        <v>451</v>
      </c>
      <c r="D394" s="658">
        <v>166.85</v>
      </c>
      <c r="E394" s="658">
        <v>1073.7874179999999</v>
      </c>
      <c r="F394" s="658">
        <f t="shared" si="133"/>
        <v>179161.43069329998</v>
      </c>
      <c r="G394" s="658">
        <v>5488</v>
      </c>
      <c r="H394" s="658">
        <v>183938.430693</v>
      </c>
      <c r="I394" s="658"/>
      <c r="J394" s="658">
        <v>44284</v>
      </c>
      <c r="K394" s="658">
        <v>14180</v>
      </c>
      <c r="L394" s="658">
        <v>12394</v>
      </c>
      <c r="M394" s="709"/>
      <c r="N394" s="659">
        <f t="shared" si="131"/>
        <v>4.1536092198762535</v>
      </c>
      <c r="O394" s="659">
        <f t="shared" si="131"/>
        <v>12.971680584837801</v>
      </c>
      <c r="P394" s="659">
        <f t="shared" si="132"/>
        <v>14.455497070622879</v>
      </c>
    </row>
    <row r="395" spans="2:16" ht="17.600000000000001" customHeight="1" outlineLevel="1">
      <c r="B395" s="656" t="s">
        <v>442</v>
      </c>
      <c r="C395" s="657" t="s">
        <v>452</v>
      </c>
      <c r="D395" s="658">
        <v>245.33</v>
      </c>
      <c r="E395" s="658">
        <v>491.95543600000002</v>
      </c>
      <c r="F395" s="658">
        <f t="shared" si="133"/>
        <v>120691.42711388001</v>
      </c>
      <c r="G395" s="658">
        <v>5236.72</v>
      </c>
      <c r="H395" s="658">
        <v>125928.147113</v>
      </c>
      <c r="I395" s="658"/>
      <c r="J395" s="658">
        <v>10386.795</v>
      </c>
      <c r="K395" s="658">
        <v>4702.3419999999996</v>
      </c>
      <c r="L395" s="658">
        <v>2622.848</v>
      </c>
      <c r="M395" s="709"/>
      <c r="N395" s="659">
        <f t="shared" si="131"/>
        <v>12.123869500938451</v>
      </c>
      <c r="O395" s="659">
        <f t="shared" si="131"/>
        <v>26.779878433555027</v>
      </c>
      <c r="P395" s="659">
        <f t="shared" si="132"/>
        <v>46.015410391254093</v>
      </c>
    </row>
    <row r="396" spans="2:16" ht="17.600000000000001" customHeight="1" outlineLevel="1">
      <c r="B396" s="656" t="s">
        <v>443</v>
      </c>
      <c r="C396" s="657" t="s">
        <v>453</v>
      </c>
      <c r="D396" s="658">
        <v>131.94</v>
      </c>
      <c r="E396" s="658">
        <v>672.37314900000001</v>
      </c>
      <c r="F396" s="658">
        <f t="shared" si="133"/>
        <v>88712.913279059998</v>
      </c>
      <c r="G396" s="658">
        <v>21373</v>
      </c>
      <c r="H396" s="658">
        <v>110085.913279</v>
      </c>
      <c r="I396" s="658"/>
      <c r="J396" s="658">
        <v>101451</v>
      </c>
      <c r="K396" s="658">
        <v>10475</v>
      </c>
      <c r="L396" s="658">
        <v>7425</v>
      </c>
      <c r="M396" s="709"/>
      <c r="N396" s="659">
        <f t="shared" si="131"/>
        <v>1.0851141268099871</v>
      </c>
      <c r="O396" s="659">
        <f t="shared" si="131"/>
        <v>10.509395062434368</v>
      </c>
      <c r="P396" s="659">
        <f t="shared" si="132"/>
        <v>11.947867108290909</v>
      </c>
    </row>
    <row r="397" spans="2:16" ht="17.600000000000001" customHeight="1" outlineLevel="1">
      <c r="B397" s="656" t="s">
        <v>121</v>
      </c>
      <c r="C397" s="657" t="s">
        <v>454</v>
      </c>
      <c r="D397" s="658">
        <v>162.72999999999999</v>
      </c>
      <c r="E397" s="658">
        <v>1119.1251010000001</v>
      </c>
      <c r="F397" s="658">
        <f t="shared" si="133"/>
        <v>182115.22768573</v>
      </c>
      <c r="G397" s="658">
        <v>3416</v>
      </c>
      <c r="H397" s="658">
        <v>186115.22768499999</v>
      </c>
      <c r="I397" s="658"/>
      <c r="J397" s="658">
        <v>37378</v>
      </c>
      <c r="K397" s="658">
        <v>18252</v>
      </c>
      <c r="L397" s="658">
        <v>9818</v>
      </c>
      <c r="M397" s="709"/>
      <c r="N397" s="659">
        <f t="shared" si="131"/>
        <v>4.9792719697415588</v>
      </c>
      <c r="O397" s="659">
        <f t="shared" si="131"/>
        <v>10.196977190718824</v>
      </c>
      <c r="P397" s="659">
        <f t="shared" si="132"/>
        <v>18.549116692374209</v>
      </c>
    </row>
    <row r="398" spans="2:16" ht="17.600000000000001" customHeight="1" outlineLevel="1">
      <c r="B398" s="656" t="s">
        <v>444</v>
      </c>
      <c r="C398" s="657" t="s">
        <v>455</v>
      </c>
      <c r="D398" s="658">
        <v>308.66000000000003</v>
      </c>
      <c r="E398" s="658">
        <v>2841.7139999999999</v>
      </c>
      <c r="F398" s="658">
        <f t="shared" si="133"/>
        <v>877123.44324000005</v>
      </c>
      <c r="G398" s="658">
        <v>100617</v>
      </c>
      <c r="H398" s="658">
        <v>978252.44324000005</v>
      </c>
      <c r="I398" s="658"/>
      <c r="J398" s="658">
        <v>59018</v>
      </c>
      <c r="K398" s="658">
        <v>26392</v>
      </c>
      <c r="L398" s="658">
        <v>18577</v>
      </c>
      <c r="M398" s="709"/>
      <c r="N398" s="659">
        <f t="shared" si="131"/>
        <v>16.575492955369548</v>
      </c>
      <c r="O398" s="659">
        <f t="shared" si="131"/>
        <v>37.06624898605638</v>
      </c>
      <c r="P398" s="659">
        <f t="shared" si="132"/>
        <v>47.215559199009533</v>
      </c>
    </row>
    <row r="399" spans="2:16" ht="17.600000000000001" customHeight="1" outlineLevel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2:16" ht="17.600000000000001" customHeight="1" outlineLevel="1">
      <c r="B400" s="1" t="s">
        <v>434</v>
      </c>
      <c r="C400" s="1"/>
      <c r="D400" s="660"/>
      <c r="E400" s="1"/>
      <c r="F400" s="1"/>
      <c r="G400" s="1"/>
      <c r="H400" s="1"/>
      <c r="I400" s="1"/>
      <c r="J400" s="1"/>
      <c r="K400" s="1"/>
      <c r="L400" s="1"/>
      <c r="M400" s="1"/>
      <c r="N400" s="661">
        <f>MAX(N388:N398)</f>
        <v>28.075352779895205</v>
      </c>
      <c r="O400" s="661">
        <f>MAX(O388:O398)</f>
        <v>51.093066618725132</v>
      </c>
      <c r="P400" s="661">
        <f>MAX(P388:P398)</f>
        <v>82.847670519529672</v>
      </c>
    </row>
    <row r="401" spans="2:16" ht="17.600000000000001" customHeight="1" outlineLevel="1">
      <c r="B401" s="1" t="s">
        <v>477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661">
        <f>QUARTILE(N388:N398,3)</f>
        <v>14.869300094751129</v>
      </c>
      <c r="O401" s="661">
        <f>QUARTILE(O388:O398,3)</f>
        <v>38.44578355498065</v>
      </c>
      <c r="P401" s="661">
        <f>QUARTILE(P388:P398,3)</f>
        <v>48.395480097212541</v>
      </c>
    </row>
    <row r="402" spans="2:16" ht="17.600000000000001" customHeight="1" outlineLevel="1">
      <c r="B402" s="662" t="s">
        <v>94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663">
        <f>AVERAGE(N388:N398)</f>
        <v>11.356222835696428</v>
      </c>
      <c r="O402" s="663">
        <f>AVERAGE(O388:O398)</f>
        <v>26.47271996136649</v>
      </c>
      <c r="P402" s="663">
        <f>AVERAGE(P388:P398)</f>
        <v>27.190124629422304</v>
      </c>
    </row>
    <row r="403" spans="2:16" ht="17.600000000000001" customHeight="1" outlineLevel="1">
      <c r="B403" s="662" t="s">
        <v>101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663">
        <f>MEDIAN(N388:N398)</f>
        <v>7.9132721831891839</v>
      </c>
      <c r="O403" s="663">
        <f>MEDIAN(O388:O398)</f>
        <v>22.991147469176536</v>
      </c>
      <c r="P403" s="663">
        <f>MEDIAN(P388:P398)</f>
        <v>29.232707371280057</v>
      </c>
    </row>
    <row r="404" spans="2:16" ht="17.600000000000001" customHeight="1" outlineLevel="1">
      <c r="B404" s="1" t="s">
        <v>478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661">
        <f>QUARTILE(N388:N398,1)</f>
        <v>4.5664405948089062</v>
      </c>
      <c r="O404" s="661">
        <f>QUARTILE(O388:O398,1)</f>
        <v>14.679491934159657</v>
      </c>
      <c r="P404" s="661">
        <f>QUARTILE(P388:P398,1)</f>
        <v>16.502306881498544</v>
      </c>
    </row>
    <row r="405" spans="2:16" ht="17.600000000000001" customHeight="1" outlineLevel="1">
      <c r="B405" s="1" t="s">
        <v>435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661">
        <f>MIN(N388:N398)</f>
        <v>1.0851141268099871</v>
      </c>
      <c r="O405" s="661">
        <f>MIN(O388:O398)</f>
        <v>10.196977190718824</v>
      </c>
      <c r="P405" s="661">
        <f>MIN(P388:P398)</f>
        <v>-93.78569964977595</v>
      </c>
    </row>
    <row r="406" spans="2:16" ht="17.600000000000001" customHeight="1" outlineLevel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2:16" ht="17.600000000000001" customHeight="1" outlineLevel="1">
      <c r="B407" s="648" t="s">
        <v>457</v>
      </c>
      <c r="C407" s="648"/>
      <c r="D407" s="648"/>
      <c r="E407" s="648"/>
      <c r="F407" s="648"/>
      <c r="G407" s="648"/>
      <c r="H407" s="648"/>
      <c r="I407" s="648"/>
      <c r="J407" s="648"/>
      <c r="K407" s="648"/>
      <c r="L407" s="648"/>
      <c r="M407" s="648"/>
      <c r="N407" s="648" t="s">
        <v>431</v>
      </c>
      <c r="O407" s="648" t="s">
        <v>432</v>
      </c>
      <c r="P407" s="648" t="s">
        <v>433</v>
      </c>
    </row>
    <row r="408" spans="2:16" ht="17.600000000000001" customHeight="1" outlineLevel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2:16" ht="17.600000000000001" customHeight="1" outlineLevel="1">
      <c r="B409" s="1" t="s">
        <v>436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658">
        <f>N403*J388</f>
        <v>1307415.0035621505</v>
      </c>
      <c r="O409" s="658">
        <f t="shared" ref="O409:P409" si="134">O403*K388</f>
        <v>2259592.9644181393</v>
      </c>
      <c r="P409" s="658">
        <f t="shared" si="134"/>
        <v>2531464.7602307391</v>
      </c>
    </row>
    <row r="410" spans="2:16" ht="17.600000000000001" customHeight="1" outlineLevel="1">
      <c r="B410" s="1" t="s">
        <v>207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658">
        <f>$G$388</f>
        <v>-46193</v>
      </c>
      <c r="O410" s="658">
        <f t="shared" ref="O410:P410" si="135">$G$388</f>
        <v>-46193</v>
      </c>
      <c r="P410" s="658">
        <f t="shared" si="135"/>
        <v>-46193</v>
      </c>
    </row>
    <row r="411" spans="2:16" ht="17.600000000000001" customHeight="1" outlineLevel="1">
      <c r="B411" s="1" t="s">
        <v>437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658">
        <f>N409-N410</f>
        <v>1353608.0035621505</v>
      </c>
      <c r="O411" s="658">
        <f>O409-O410</f>
        <v>2305785.9644181393</v>
      </c>
      <c r="P411" s="658">
        <f>P403*L388</f>
        <v>2531464.7602307391</v>
      </c>
    </row>
    <row r="412" spans="2:16" ht="17.600000000000001" customHeight="1" outlineLevel="1">
      <c r="B412" s="1" t="s">
        <v>392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658">
        <f>$E$388</f>
        <v>24300</v>
      </c>
      <c r="O412" s="658">
        <f t="shared" ref="O412:P412" si="136">$E$388</f>
        <v>24300</v>
      </c>
      <c r="P412" s="658">
        <f t="shared" si="136"/>
        <v>24300</v>
      </c>
    </row>
    <row r="413" spans="2:16" ht="17.600000000000001" customHeight="1" outlineLevel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660"/>
      <c r="O413" s="660"/>
      <c r="P413" s="660"/>
    </row>
    <row r="414" spans="2:16" ht="17.600000000000001" customHeight="1" outlineLevel="1" thickBot="1">
      <c r="B414" s="664" t="s">
        <v>438</v>
      </c>
      <c r="C414" s="664"/>
      <c r="D414" s="664"/>
      <c r="E414" s="664"/>
      <c r="F414" s="664"/>
      <c r="G414" s="664"/>
      <c r="H414" s="664"/>
      <c r="I414" s="664"/>
      <c r="J414" s="664"/>
      <c r="K414" s="664"/>
      <c r="L414" s="664"/>
      <c r="M414" s="664"/>
      <c r="N414" s="665">
        <f>N411/N412</f>
        <v>55.704033068401259</v>
      </c>
      <c r="O414" s="665">
        <f>O411/O412</f>
        <v>94.88831129292754</v>
      </c>
      <c r="P414" s="665">
        <f>P411/P412</f>
        <v>104.1755045362444</v>
      </c>
    </row>
    <row r="415" spans="2:16" ht="17.600000000000001" customHeight="1" outlineLevel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 t="str">
        <f>IF(N414&gt;$D$388,"Undervalued","Overvalued")</f>
        <v>Overvalued</v>
      </c>
      <c r="O415" s="1" t="str">
        <f t="shared" ref="O415:P415" si="137">IF(O414&gt;$D$388,"Undervalued","Overvalued")</f>
        <v>Overvalued</v>
      </c>
      <c r="P415" s="1" t="str">
        <f t="shared" si="137"/>
        <v>Overvalued</v>
      </c>
    </row>
    <row r="416" spans="2:16" ht="17.600000000000001" customHeight="1" outlineLevel="1"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</row>
  </sheetData>
  <mergeCells count="2">
    <mergeCell ref="D383:L383"/>
    <mergeCell ref="N383:P383"/>
  </mergeCells>
  <conditionalFormatting sqref="D189">
    <cfRule type="expression" dxfId="1" priority="3">
      <formula>$D$247=1</formula>
    </cfRule>
  </conditionalFormatting>
  <conditionalFormatting sqref="D226">
    <cfRule type="expression" dxfId="0" priority="4">
      <formula>#REF!=1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C4A5-1E00-4AC5-982B-AF8AF6EF8796}">
  <dimension ref="B2:H32"/>
  <sheetViews>
    <sheetView showGridLines="0" workbookViewId="0"/>
  </sheetViews>
  <sheetFormatPr defaultRowHeight="15.9" customHeight="1"/>
  <cols>
    <col min="1" max="1" width="3.15234375" customWidth="1"/>
    <col min="2" max="3" width="11.69140625" customWidth="1"/>
    <col min="4" max="4" width="13.3828125" customWidth="1"/>
    <col min="5" max="5" width="17.765625" customWidth="1"/>
    <col min="6" max="6" width="13.07421875" customWidth="1"/>
    <col min="7" max="7" width="14.53515625" customWidth="1"/>
    <col min="8" max="8" width="12.4609375" customWidth="1"/>
  </cols>
  <sheetData>
    <row r="2" spans="2:8" ht="15.9" customHeight="1">
      <c r="B2" t="s">
        <v>482</v>
      </c>
    </row>
    <row r="3" spans="2:8" ht="15.9" customHeight="1">
      <c r="B3" t="s">
        <v>483</v>
      </c>
      <c r="C3" t="s">
        <v>277</v>
      </c>
      <c r="D3" t="s">
        <v>484</v>
      </c>
      <c r="E3" t="s">
        <v>485</v>
      </c>
      <c r="F3" t="s">
        <v>486</v>
      </c>
      <c r="G3" t="s">
        <v>487</v>
      </c>
      <c r="H3" t="s">
        <v>488</v>
      </c>
    </row>
    <row r="4" spans="2:8" ht="15.9" customHeight="1">
      <c r="B4" t="s">
        <v>489</v>
      </c>
      <c r="C4" s="712">
        <v>9.5000000000000001E-2</v>
      </c>
      <c r="D4" s="712">
        <v>0.04</v>
      </c>
      <c r="E4" s="715">
        <v>18</v>
      </c>
      <c r="F4" s="713">
        <v>0.3</v>
      </c>
      <c r="G4" s="713">
        <v>0.2</v>
      </c>
      <c r="H4" s="713">
        <v>0.18</v>
      </c>
    </row>
    <row r="5" spans="2:8" ht="15.9" customHeight="1">
      <c r="B5" t="s">
        <v>465</v>
      </c>
      <c r="C5" s="712">
        <v>0.1032</v>
      </c>
      <c r="D5" s="712">
        <v>0.03</v>
      </c>
      <c r="E5" s="715">
        <v>16</v>
      </c>
      <c r="F5" s="713">
        <v>0.25</v>
      </c>
      <c r="G5" s="713">
        <v>0.16</v>
      </c>
      <c r="H5" s="713">
        <v>0.13</v>
      </c>
    </row>
    <row r="6" spans="2:8" ht="15.9" customHeight="1">
      <c r="B6" t="s">
        <v>490</v>
      </c>
      <c r="C6" s="712">
        <v>0.115</v>
      </c>
      <c r="D6" s="712">
        <v>0.02</v>
      </c>
      <c r="E6" s="715">
        <v>11</v>
      </c>
      <c r="F6" s="713">
        <v>0.18</v>
      </c>
      <c r="G6" s="713">
        <v>0.13</v>
      </c>
      <c r="H6" s="713">
        <v>0.1</v>
      </c>
    </row>
    <row r="8" spans="2:8" ht="15.9" customHeight="1">
      <c r="B8" t="s">
        <v>491</v>
      </c>
    </row>
    <row r="9" spans="2:8" ht="15.9" customHeight="1">
      <c r="B9" s="710" t="s">
        <v>492</v>
      </c>
      <c r="C9" s="710" t="s">
        <v>493</v>
      </c>
    </row>
    <row r="10" spans="2:8" ht="15.9" customHeight="1">
      <c r="B10" s="711" t="s">
        <v>494</v>
      </c>
      <c r="C10" s="711" t="s">
        <v>495</v>
      </c>
    </row>
    <row r="11" spans="2:8" ht="15.9" customHeight="1">
      <c r="B11" s="711" t="s">
        <v>496</v>
      </c>
      <c r="C11" s="711" t="s">
        <v>495</v>
      </c>
    </row>
    <row r="12" spans="2:8" ht="15.9" customHeight="1">
      <c r="B12" s="711" t="s">
        <v>497</v>
      </c>
      <c r="C12" s="711" t="s">
        <v>498</v>
      </c>
    </row>
    <row r="14" spans="2:8" ht="15.9" customHeight="1">
      <c r="B14" t="s">
        <v>499</v>
      </c>
    </row>
    <row r="15" spans="2:8" ht="15.9" customHeight="1">
      <c r="B15" s="710" t="s">
        <v>483</v>
      </c>
      <c r="C15" s="710" t="s">
        <v>492</v>
      </c>
      <c r="D15" s="710" t="s">
        <v>500</v>
      </c>
    </row>
    <row r="16" spans="2:8" ht="15.9" customHeight="1">
      <c r="B16" s="711" t="s">
        <v>489</v>
      </c>
      <c r="C16" s="711" t="s">
        <v>494</v>
      </c>
      <c r="D16" s="714">
        <v>279.74701113785181</v>
      </c>
    </row>
    <row r="17" spans="2:6" ht="15.9" customHeight="1">
      <c r="B17" s="711" t="s">
        <v>489</v>
      </c>
      <c r="C17" s="711" t="s">
        <v>496</v>
      </c>
      <c r="D17" s="714">
        <v>409.79326378486286</v>
      </c>
    </row>
    <row r="18" spans="2:6" ht="15.9" customHeight="1">
      <c r="B18" s="711" t="s">
        <v>489</v>
      </c>
      <c r="C18" s="711" t="s">
        <v>497</v>
      </c>
      <c r="D18" s="714">
        <v>55.704033068401259</v>
      </c>
    </row>
    <row r="19" spans="2:6" ht="15.9" customHeight="1">
      <c r="B19" s="711" t="s">
        <v>465</v>
      </c>
      <c r="C19" s="711" t="s">
        <v>494</v>
      </c>
      <c r="D19" s="714">
        <v>275.01775907508369</v>
      </c>
    </row>
    <row r="20" spans="2:6" ht="15.9" customHeight="1">
      <c r="B20" s="711" t="s">
        <v>465</v>
      </c>
      <c r="C20" s="711" t="s">
        <v>496</v>
      </c>
      <c r="D20" s="714">
        <v>389.07761205668368</v>
      </c>
    </row>
    <row r="21" spans="2:6" ht="15.9" customHeight="1">
      <c r="B21" s="711" t="s">
        <v>465</v>
      </c>
      <c r="C21" s="711" t="s">
        <v>497</v>
      </c>
      <c r="D21" s="714">
        <v>94.88831129292754</v>
      </c>
    </row>
    <row r="22" spans="2:6" ht="15.9" customHeight="1">
      <c r="B22" s="711" t="s">
        <v>490</v>
      </c>
      <c r="C22" s="711" t="s">
        <v>494</v>
      </c>
      <c r="D22" s="714">
        <v>251.02157637053702</v>
      </c>
    </row>
    <row r="23" spans="2:6" ht="15.9" customHeight="1">
      <c r="B23" s="711" t="s">
        <v>490</v>
      </c>
      <c r="C23" s="711" t="s">
        <v>496</v>
      </c>
      <c r="D23" s="714">
        <v>338.97543102477681</v>
      </c>
    </row>
    <row r="24" spans="2:6" ht="15.9" customHeight="1">
      <c r="B24" s="711" t="s">
        <v>490</v>
      </c>
      <c r="C24" s="711" t="s">
        <v>497</v>
      </c>
      <c r="D24" s="714">
        <v>104.1755045362444</v>
      </c>
    </row>
    <row r="26" spans="2:6" ht="15.9" customHeight="1">
      <c r="B26" t="s">
        <v>501</v>
      </c>
    </row>
    <row r="27" spans="2:6" ht="15.9" customHeight="1">
      <c r="B27" s="710" t="s">
        <v>288</v>
      </c>
      <c r="C27" s="710" t="s">
        <v>483</v>
      </c>
      <c r="D27" s="710" t="s">
        <v>133</v>
      </c>
      <c r="E27" s="710" t="s">
        <v>1</v>
      </c>
      <c r="F27" s="710" t="s">
        <v>502</v>
      </c>
    </row>
    <row r="28" spans="2:6" ht="15.9" customHeight="1">
      <c r="B28" s="711">
        <v>2026</v>
      </c>
      <c r="C28" s="711" t="s">
        <v>465</v>
      </c>
      <c r="D28" s="711">
        <v>207453</v>
      </c>
      <c r="E28" s="711">
        <v>38679</v>
      </c>
      <c r="F28" s="711">
        <v>41051</v>
      </c>
    </row>
    <row r="29" spans="2:6" ht="15.9" customHeight="1">
      <c r="B29" s="711">
        <v>2027</v>
      </c>
      <c r="C29" s="711" t="s">
        <v>465</v>
      </c>
      <c r="D29" s="711">
        <v>275813</v>
      </c>
      <c r="E29" s="711">
        <v>51079</v>
      </c>
      <c r="F29" s="711">
        <v>49163</v>
      </c>
    </row>
    <row r="30" spans="2:6" ht="15.9" customHeight="1">
      <c r="B30" s="711">
        <v>2028</v>
      </c>
      <c r="C30" s="711" t="s">
        <v>465</v>
      </c>
      <c r="D30" s="711">
        <v>328597</v>
      </c>
      <c r="E30" s="711">
        <v>55449</v>
      </c>
      <c r="F30" s="711">
        <v>53702</v>
      </c>
    </row>
    <row r="31" spans="2:6" ht="15.9" customHeight="1">
      <c r="B31" s="711">
        <v>2029</v>
      </c>
      <c r="C31" s="711" t="s">
        <v>465</v>
      </c>
      <c r="D31" s="711">
        <v>366767</v>
      </c>
      <c r="E31" s="711">
        <v>59288</v>
      </c>
      <c r="F31" s="711">
        <v>57601</v>
      </c>
    </row>
    <row r="32" spans="2:6" ht="15.9" customHeight="1">
      <c r="B32" s="711">
        <v>2030</v>
      </c>
      <c r="C32" s="711" t="s">
        <v>465</v>
      </c>
      <c r="D32" s="711">
        <v>395352</v>
      </c>
      <c r="E32" s="711">
        <v>64347</v>
      </c>
      <c r="F32" s="711">
        <v>61896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Income Statement</vt:lpstr>
      <vt:lpstr>Balance Sheet</vt:lpstr>
      <vt:lpstr>Cashflow Statement</vt:lpstr>
      <vt:lpstr>Outputs</vt:lpstr>
      <vt:lpstr>Inputs</vt:lpstr>
      <vt:lpstr>Model</vt:lpstr>
      <vt:lpstr>PBI -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Sutvij Chavan</dc:creator>
  <cp:lastModifiedBy>Sutvij Chavan</cp:lastModifiedBy>
  <dcterms:created xsi:type="dcterms:W3CDTF">2025-09-18T18:48:05Z</dcterms:created>
  <dcterms:modified xsi:type="dcterms:W3CDTF">2025-11-19T22:07:39Z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{E2B084E8-F41C-4E02-BD65-0B67E9A09763}</vt:lpwstr>
  </property>
</Properties>
</file>