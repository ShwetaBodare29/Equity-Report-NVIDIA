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7a1c47e2bd9692/Desktop/Shweta/"/>
    </mc:Choice>
  </mc:AlternateContent>
  <xr:revisionPtr revIDLastSave="87" documentId="8_{E7DB3908-A3DA-4A90-8BE3-464C53EB0490}" xr6:coauthVersionLast="47" xr6:coauthVersionMax="47" xr10:uidLastSave="{9C7B11DE-5192-462B-9E20-81C8E286B16D}"/>
  <bookViews>
    <workbookView xWindow="-103" yWindow="-103" windowWidth="22149" windowHeight="13200" xr2:uid="{943C3BDF-34E7-40E8-8F85-C14EEA6BA870}"/>
  </bookViews>
  <sheets>
    <sheet name="Cover" sheetId="4" r:id="rId1"/>
    <sheet name="Budget_Annual" sheetId="1" r:id="rId2"/>
    <sheet name="Budget_QTR" sheetId="2" r:id="rId3"/>
    <sheet name="Variance_Annua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3" l="1"/>
  <c r="I7" i="3"/>
  <c r="I8" i="3"/>
  <c r="I9" i="3"/>
  <c r="I10" i="3"/>
  <c r="I11" i="3"/>
  <c r="I12" i="3"/>
  <c r="I13" i="3"/>
  <c r="I14" i="3"/>
  <c r="I15" i="3"/>
  <c r="I16" i="3"/>
  <c r="I5" i="3"/>
  <c r="E12" i="3" l="1"/>
  <c r="G12" i="3" s="1"/>
  <c r="E5" i="3"/>
  <c r="H5" i="3" s="1"/>
  <c r="D15" i="2"/>
  <c r="J15" i="2" s="1"/>
  <c r="D14" i="2"/>
  <c r="K14" i="2" s="1"/>
  <c r="D13" i="2"/>
  <c r="E14" i="3" s="1"/>
  <c r="G14" i="3" s="1"/>
  <c r="D5" i="2"/>
  <c r="D12" i="2"/>
  <c r="J12" i="2" s="1"/>
  <c r="D11" i="2"/>
  <c r="L11" i="2" s="1"/>
  <c r="D10" i="2"/>
  <c r="J10" i="2" s="1"/>
  <c r="D9" i="2"/>
  <c r="L9" i="2" s="1"/>
  <c r="D8" i="2"/>
  <c r="E8" i="3" s="1"/>
  <c r="D7" i="2"/>
  <c r="K7" i="2" s="1"/>
  <c r="D6" i="2"/>
  <c r="J6" i="2" s="1"/>
  <c r="K15" i="2"/>
  <c r="K10" i="2"/>
  <c r="J7" i="2" l="1"/>
  <c r="L7" i="2"/>
  <c r="E7" i="3"/>
  <c r="H7" i="3" s="1"/>
  <c r="E6" i="3"/>
  <c r="H6" i="3" s="1"/>
  <c r="L15" i="2"/>
  <c r="E13" i="3"/>
  <c r="H13" i="3" s="1"/>
  <c r="E11" i="3"/>
  <c r="H11" i="3" s="1"/>
  <c r="E16" i="3"/>
  <c r="G16" i="3" s="1"/>
  <c r="E10" i="3"/>
  <c r="H10" i="3" s="1"/>
  <c r="E15" i="3"/>
  <c r="H15" i="3" s="1"/>
  <c r="I10" i="2"/>
  <c r="E9" i="3"/>
  <c r="H9" i="3" s="1"/>
  <c r="H12" i="3"/>
  <c r="H8" i="3"/>
  <c r="I14" i="2"/>
  <c r="J14" i="2"/>
  <c r="K12" i="2"/>
  <c r="L12" i="2"/>
  <c r="K11" i="2"/>
  <c r="J11" i="2"/>
  <c r="K8" i="2"/>
  <c r="J8" i="2"/>
  <c r="L8" i="2"/>
  <c r="K6" i="2"/>
  <c r="I6" i="2"/>
  <c r="G15" i="3"/>
  <c r="G5" i="3"/>
  <c r="G7" i="3"/>
  <c r="G11" i="3"/>
  <c r="H14" i="3"/>
  <c r="H16" i="3"/>
  <c r="G8" i="3"/>
  <c r="G10" i="3"/>
  <c r="I5" i="2"/>
  <c r="I9" i="2"/>
  <c r="I13" i="2"/>
  <c r="J5" i="2"/>
  <c r="L6" i="2"/>
  <c r="M6" i="2" s="1"/>
  <c r="J9" i="2"/>
  <c r="L10" i="2"/>
  <c r="M10" i="2" s="1"/>
  <c r="J13" i="2"/>
  <c r="L14" i="2"/>
  <c r="K5" i="2"/>
  <c r="I8" i="2"/>
  <c r="K9" i="2"/>
  <c r="I12" i="2"/>
  <c r="M12" i="2" s="1"/>
  <c r="K13" i="2"/>
  <c r="L5" i="2"/>
  <c r="L13" i="2"/>
  <c r="I7" i="2"/>
  <c r="M7" i="2" s="1"/>
  <c r="I11" i="2"/>
  <c r="I15" i="2"/>
  <c r="M15" i="2" s="1"/>
  <c r="G13" i="3" l="1"/>
  <c r="M9" i="2"/>
  <c r="G6" i="3"/>
  <c r="M8" i="2"/>
  <c r="M5" i="2"/>
  <c r="G9" i="3"/>
  <c r="M14" i="2"/>
  <c r="M11" i="2"/>
  <c r="M13" i="2"/>
</calcChain>
</file>

<file path=xl/sharedStrings.xml><?xml version="1.0" encoding="utf-8"?>
<sst xmlns="http://schemas.openxmlformats.org/spreadsheetml/2006/main" count="76" uniqueCount="47">
  <si>
    <t>NVIDIA CORPORATION (NASDAQGS:NVDA)</t>
  </si>
  <si>
    <t>Line item</t>
  </si>
  <si>
    <t>FY26 Budget</t>
  </si>
  <si>
    <t>Revenue</t>
  </si>
  <si>
    <t xml:space="preserve">  Graphics revenue</t>
  </si>
  <si>
    <t xml:space="preserve">  Compute &amp; Networking revenue</t>
  </si>
  <si>
    <t>Cost of goods sold (COGS)</t>
  </si>
  <si>
    <t>Gross profit</t>
  </si>
  <si>
    <t>Gross margin %</t>
  </si>
  <si>
    <t>SG&amp;A</t>
  </si>
  <si>
    <t>SG&amp;A % of revenue</t>
  </si>
  <si>
    <t>R&amp;D</t>
  </si>
  <si>
    <t>R&amp;D % of revenue</t>
  </si>
  <si>
    <t>EBITDA</t>
  </si>
  <si>
    <t>EBITDA margin %</t>
  </si>
  <si>
    <t>Depreciation &amp; amortisation</t>
  </si>
  <si>
    <t>EBIT</t>
  </si>
  <si>
    <t>Net Interest</t>
  </si>
  <si>
    <t>EBT</t>
  </si>
  <si>
    <t>Taxes</t>
  </si>
  <si>
    <t>Net Income</t>
  </si>
  <si>
    <t>Capex</t>
  </si>
  <si>
    <t>Free Cash Flow</t>
  </si>
  <si>
    <t>Q1 %</t>
  </si>
  <si>
    <t>Q2 %</t>
  </si>
  <si>
    <t>Q3 %</t>
  </si>
  <si>
    <t>Q4 %</t>
  </si>
  <si>
    <t>Q1 2026 Budget</t>
  </si>
  <si>
    <t>Q2 2026 Budget</t>
  </si>
  <si>
    <t>Q3 2026 Budget</t>
  </si>
  <si>
    <t>Q4 2026 Budget</t>
  </si>
  <si>
    <t xml:space="preserve">Check </t>
  </si>
  <si>
    <t>2026 Actual</t>
  </si>
  <si>
    <t>Var $</t>
  </si>
  <si>
    <t>Var %</t>
  </si>
  <si>
    <t>F/U</t>
  </si>
  <si>
    <t>Table of Contents</t>
  </si>
  <si>
    <t xml:space="preserve"> </t>
  </si>
  <si>
    <t>Budget_Annual</t>
  </si>
  <si>
    <t>Budget_QTR</t>
  </si>
  <si>
    <t>Variance_Annual</t>
  </si>
  <si>
    <t>*Notes: Quarterly % splits (20/23/25/32) are a modelling assumption based on NVIDIA’s typical pattern of lower Q1 and stronger Q3–Q4, and are applied uniformly across line items to phase the annual FY26 budget into quarters.</t>
  </si>
  <si>
    <t>*Actual FY26 figures are taken from NVIDIA’s FY2026 Q4. Budget figures are based on the FY26 budget in this model.</t>
  </si>
  <si>
    <t>*Full‑year FY26 budget figures are based on NVIDIA’s forecasted FY26 financials, with forecast components (e.g. margins, FCF) adjusted using my own assumptions.</t>
  </si>
  <si>
    <t>*In practice, individual line items may differ slightly by quarter, but this approach is sufficient for high‑level planning.</t>
  </si>
  <si>
    <t>*F/U Logic: Revenue/profit beats = Favourable. Cost overruns = Unfavourable. Single formula with TRIM() for consistent line item matching.</t>
  </si>
  <si>
    <t>Budget vs Actual Variance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</si>
</sst>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-* #,##0.00_-;\-* #,##0.00_-;_-* &quot;-&quot;??_-;_-@_-"/>
    <numFmt numFmtId="165" formatCode="0.0%"/>
    <numFmt numFmtId="166" formatCode="0.0%;\ \(0.0%\)"/>
    <numFmt numFmtId="167" formatCode="_(#,##0.00_);\(#,##0.00\);_(&quot;–&quot;_);_(@_)"/>
    <numFmt numFmtId="170" formatCode="_(#,##0_)_%;\(#,##0\)_%;_(&quot;–&quot;_)_%;_(@_)_%"/>
    <numFmt numFmtId="171" formatCode="&quot;Yes&quot;;&quot;ERROR&quot;;&quot;No&quot;;&quot;ERROR&quot;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Lora"/>
    </font>
    <font>
      <b/>
      <sz val="22"/>
      <color theme="2" tint="-9.9978637043366805E-2"/>
      <name val="Lora"/>
    </font>
    <font>
      <b/>
      <sz val="10"/>
      <color theme="2" tint="-0.249977111117893"/>
      <name val="Lora"/>
    </font>
    <font>
      <b/>
      <sz val="10"/>
      <color theme="1"/>
      <name val="Lora"/>
    </font>
    <font>
      <sz val="11"/>
      <color theme="1"/>
      <name val="Lora"/>
    </font>
    <font>
      <sz val="10"/>
      <name val="Lora"/>
    </font>
    <font>
      <sz val="10"/>
      <color theme="9"/>
      <name val="Lora"/>
    </font>
    <font>
      <u/>
      <sz val="11"/>
      <color theme="10"/>
      <name val="Calibri"/>
      <family val="2"/>
      <scheme val="minor"/>
    </font>
    <font>
      <sz val="11"/>
      <name val="Lora"/>
    </font>
    <font>
      <sz val="11"/>
      <color theme="0"/>
      <name val="Lora"/>
    </font>
    <font>
      <sz val="72"/>
      <color theme="0"/>
      <name val="Lora"/>
    </font>
    <font>
      <b/>
      <sz val="20"/>
      <color rgb="FF4472C4"/>
      <name val="Lora"/>
    </font>
    <font>
      <b/>
      <sz val="14"/>
      <color rgb="FF132E57"/>
      <name val="Lora"/>
    </font>
    <font>
      <b/>
      <sz val="11"/>
      <color theme="1"/>
      <name val="Lora"/>
    </font>
    <font>
      <sz val="14"/>
      <color rgb="FF132E57"/>
      <name val="Lora"/>
    </font>
    <font>
      <u/>
      <sz val="13"/>
      <color theme="10"/>
      <name val="Lora"/>
    </font>
    <font>
      <u/>
      <sz val="10"/>
      <color theme="10"/>
      <name val="Arial"/>
      <family val="2"/>
    </font>
    <font>
      <sz val="12"/>
      <color rgb="FF000000"/>
      <name val="Lora"/>
    </font>
    <font>
      <sz val="12"/>
      <color theme="1"/>
      <name val="Lora"/>
    </font>
    <font>
      <i/>
      <sz val="10"/>
      <color theme="1"/>
      <name val="Lora"/>
    </font>
    <font>
      <i/>
      <sz val="9"/>
      <color theme="1"/>
      <name val="Lora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000000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rgb="FF000C3F"/>
      </left>
      <right/>
      <top style="medium">
        <color rgb="FF000C3F"/>
      </top>
      <bottom/>
      <diagonal/>
    </border>
    <border>
      <left/>
      <right/>
      <top style="medium">
        <color rgb="FF000C3F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thick">
        <color rgb="FF132E57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18" fillId="0" borderId="0" applyNumberFormat="0" applyFill="0" applyBorder="0" applyAlignment="0" applyProtection="0"/>
  </cellStyleXfs>
  <cellXfs count="4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left"/>
    </xf>
    <xf numFmtId="0" fontId="2" fillId="0" borderId="0" xfId="0" applyFont="1"/>
    <xf numFmtId="0" fontId="5" fillId="0" borderId="0" xfId="0" applyFont="1"/>
    <xf numFmtId="0" fontId="5" fillId="0" borderId="1" xfId="0" applyFont="1" applyBorder="1"/>
    <xf numFmtId="43" fontId="2" fillId="0" borderId="0" xfId="1" applyFont="1"/>
    <xf numFmtId="0" fontId="2" fillId="0" borderId="2" xfId="0" applyFont="1" applyBorder="1"/>
    <xf numFmtId="0" fontId="5" fillId="0" borderId="1" xfId="0" applyFont="1" applyBorder="1" applyAlignment="1">
      <alignment horizontal="center"/>
    </xf>
    <xf numFmtId="165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6" fillId="0" borderId="0" xfId="0" applyFont="1"/>
    <xf numFmtId="166" fontId="7" fillId="0" borderId="0" xfId="2" applyNumberFormat="1" applyFont="1" applyBorder="1" applyAlignment="1">
      <alignment horizontal="right"/>
    </xf>
    <xf numFmtId="167" fontId="7" fillId="0" borderId="0" xfId="0" applyNumberFormat="1" applyFont="1" applyAlignment="1">
      <alignment horizontal="right"/>
    </xf>
    <xf numFmtId="43" fontId="2" fillId="0" borderId="0" xfId="1" applyFont="1" applyAlignment="1">
      <alignment horizontal="right"/>
    </xf>
    <xf numFmtId="165" fontId="8" fillId="4" borderId="0" xfId="2" applyNumberFormat="1" applyFont="1" applyFill="1"/>
    <xf numFmtId="164" fontId="8" fillId="4" borderId="0" xfId="1" applyNumberFormat="1" applyFont="1" applyFill="1"/>
    <xf numFmtId="0" fontId="6" fillId="5" borderId="0" xfId="4" applyFont="1" applyFill="1"/>
    <xf numFmtId="0" fontId="6" fillId="0" borderId="0" xfId="4" applyFont="1"/>
    <xf numFmtId="0" fontId="10" fillId="2" borderId="3" xfId="0" applyFont="1" applyFill="1" applyBorder="1"/>
    <xf numFmtId="0" fontId="10" fillId="2" borderId="4" xfId="0" applyFont="1" applyFill="1" applyBorder="1"/>
    <xf numFmtId="0" fontId="11" fillId="6" borderId="5" xfId="4" applyFont="1" applyFill="1" applyBorder="1"/>
    <xf numFmtId="0" fontId="12" fillId="6" borderId="5" xfId="4" applyFont="1" applyFill="1" applyBorder="1"/>
    <xf numFmtId="0" fontId="6" fillId="6" borderId="5" xfId="4" applyFont="1" applyFill="1" applyBorder="1"/>
    <xf numFmtId="0" fontId="6" fillId="6" borderId="6" xfId="4" applyFont="1" applyFill="1" applyBorder="1"/>
    <xf numFmtId="0" fontId="6" fillId="0" borderId="7" xfId="4" applyFont="1" applyBorder="1"/>
    <xf numFmtId="0" fontId="6" fillId="0" borderId="8" xfId="4" applyFont="1" applyBorder="1"/>
    <xf numFmtId="0" fontId="13" fillId="0" borderId="0" xfId="4" applyFont="1" applyProtection="1">
      <protection locked="0"/>
    </xf>
    <xf numFmtId="0" fontId="14" fillId="0" borderId="0" xfId="4" applyFont="1" applyAlignment="1">
      <alignment horizontal="right"/>
    </xf>
    <xf numFmtId="0" fontId="6" fillId="0" borderId="0" xfId="4" applyFont="1" applyProtection="1">
      <protection locked="0"/>
    </xf>
    <xf numFmtId="0" fontId="15" fillId="0" borderId="0" xfId="4" applyFont="1"/>
    <xf numFmtId="0" fontId="14" fillId="0" borderId="2" xfId="4" applyFont="1" applyBorder="1" applyProtection="1">
      <protection locked="0"/>
    </xf>
    <xf numFmtId="0" fontId="2" fillId="0" borderId="0" xfId="4" applyFont="1"/>
    <xf numFmtId="0" fontId="16" fillId="0" borderId="0" xfId="4" applyFont="1" applyProtection="1">
      <protection locked="0"/>
    </xf>
    <xf numFmtId="170" fontId="17" fillId="0" borderId="0" xfId="3" applyNumberFormat="1" applyFont="1" applyFill="1" applyBorder="1" applyProtection="1">
      <protection locked="0"/>
    </xf>
    <xf numFmtId="170" fontId="19" fillId="0" borderId="0" xfId="5" applyNumberFormat="1" applyFont="1" applyFill="1" applyBorder="1" applyAlignment="1" applyProtection="1">
      <alignment horizontal="left"/>
      <protection locked="0"/>
    </xf>
    <xf numFmtId="171" fontId="19" fillId="0" borderId="0" xfId="5" applyNumberFormat="1" applyFont="1" applyFill="1" applyBorder="1" applyAlignment="1" applyProtection="1">
      <alignment horizontal="center"/>
      <protection locked="0"/>
    </xf>
    <xf numFmtId="170" fontId="20" fillId="0" borderId="0" xfId="4" applyNumberFormat="1" applyFont="1"/>
    <xf numFmtId="0" fontId="6" fillId="0" borderId="9" xfId="4" applyFont="1" applyBorder="1"/>
    <xf numFmtId="0" fontId="6" fillId="0" borderId="10" xfId="4" applyFont="1" applyBorder="1"/>
    <xf numFmtId="0" fontId="6" fillId="0" borderId="11" xfId="4" applyFont="1" applyBorder="1"/>
    <xf numFmtId="0" fontId="21" fillId="0" borderId="0" xfId="0" applyFont="1"/>
    <xf numFmtId="0" fontId="22" fillId="0" borderId="0" xfId="0" applyFont="1"/>
    <xf numFmtId="0" fontId="21" fillId="0" borderId="0" xfId="0" applyFont="1" applyAlignment="1"/>
  </cellXfs>
  <cellStyles count="6">
    <cellStyle name="Comma" xfId="1" builtinId="3"/>
    <cellStyle name="Hyperlink" xfId="3" builtinId="8"/>
    <cellStyle name="Hyperlink 2 2" xfId="5" xr:uid="{A2DD450F-E346-4F89-A333-209B85866ABE}"/>
    <cellStyle name="Normal" xfId="0" builtinId="0"/>
    <cellStyle name="Normal 2 2 2" xfId="4" xr:uid="{302B5BF4-255C-463C-B50D-5DE53D80ADB5}"/>
    <cellStyle name="Percent" xfId="2" builtinId="5"/>
  </cellStyles>
  <dxfs count="2">
    <dxf>
      <font>
        <b/>
        <i val="0"/>
        <color theme="0"/>
      </font>
      <fill>
        <patternFill>
          <fgColor auto="1"/>
          <bgColor rgb="FF947131"/>
        </patternFill>
      </fill>
    </dxf>
    <dxf>
      <font>
        <b/>
        <i val="0"/>
        <color theme="0"/>
      </font>
      <fill>
        <patternFill>
          <fgColor auto="1"/>
          <bgColor rgb="FF9471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108858</xdr:colOff>
      <xdr:row>0</xdr:row>
      <xdr:rowOff>239484</xdr:rowOff>
    </xdr:from>
    <xdr:to>
      <xdr:col>3</xdr:col>
      <xdr:colOff>435429</xdr:colOff>
      <xdr:row>1</xdr:row>
      <xdr:rowOff>1513114</xdr:rowOff>
    </xdr:to>
    <xdr:pic>
      <xdr:nvPicPr>
        <xdr:cNvPr id="3" name="Picture 2" descr="Nvidia Logo Wallpaper 4K, Dark background">
          <a:extLst>
            <a:ext uri="{FF2B5EF4-FFF2-40B4-BE49-F238E27FC236}">
              <a16:creationId xmlns:a16="http://schemas.microsoft.com/office/drawing/2014/main" id="{16BB12D8-E5DA-4D63-8A66-4003A792F2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3" t="16072" r="9400" b="19195"/>
        <a:stretch/>
      </xdr:blipFill>
      <xdr:spPr bwMode="auto">
        <a:xfrm>
          <a:off x="440872" y="239484"/>
          <a:ext cx="3265714" cy="1524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20682</xdr:colOff>
      <xdr:row>0</xdr:row>
      <xdr:rowOff>2</xdr:rowOff>
    </xdr:from>
    <xdr:to>
      <xdr:col>1</xdr:col>
      <xdr:colOff>1839686</xdr:colOff>
      <xdr:row>1</xdr:row>
      <xdr:rowOff>490</xdr:rowOff>
    </xdr:to>
    <xdr:pic>
      <xdr:nvPicPr>
        <xdr:cNvPr id="2" name="Picture 1" descr="Nvidia Logo Wallpaper 4K, Dark background">
          <a:extLst>
            <a:ext uri="{FF2B5EF4-FFF2-40B4-BE49-F238E27FC236}">
              <a16:creationId xmlns:a16="http://schemas.microsoft.com/office/drawing/2014/main" id="{B4EBEEBA-C613-48CC-B0D4-627B694783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3" t="16072" r="9400" b="19195"/>
        <a:stretch/>
      </xdr:blipFill>
      <xdr:spPr bwMode="auto">
        <a:xfrm>
          <a:off x="292825" y="2"/>
          <a:ext cx="1819004" cy="773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20683</xdr:colOff>
      <xdr:row>0</xdr:row>
      <xdr:rowOff>4</xdr:rowOff>
    </xdr:from>
    <xdr:to>
      <xdr:col>1</xdr:col>
      <xdr:colOff>1790700</xdr:colOff>
      <xdr:row>1</xdr:row>
      <xdr:rowOff>5444</xdr:rowOff>
    </xdr:to>
    <xdr:pic>
      <xdr:nvPicPr>
        <xdr:cNvPr id="2" name="Picture 1" descr="Nvidia Logo Wallpaper 4K, Dark background">
          <a:extLst>
            <a:ext uri="{FF2B5EF4-FFF2-40B4-BE49-F238E27FC236}">
              <a16:creationId xmlns:a16="http://schemas.microsoft.com/office/drawing/2014/main" id="{06DD6103-DBED-483D-82B1-7AC3278D78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3" t="16072" r="9400" b="19195"/>
        <a:stretch/>
      </xdr:blipFill>
      <xdr:spPr bwMode="auto">
        <a:xfrm>
          <a:off x="292826" y="4"/>
          <a:ext cx="1770017" cy="778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42453</xdr:colOff>
      <xdr:row>0</xdr:row>
      <xdr:rowOff>1</xdr:rowOff>
    </xdr:from>
    <xdr:to>
      <xdr:col>2</xdr:col>
      <xdr:colOff>272143</xdr:colOff>
      <xdr:row>0</xdr:row>
      <xdr:rowOff>767443</xdr:rowOff>
    </xdr:to>
    <xdr:pic>
      <xdr:nvPicPr>
        <xdr:cNvPr id="2" name="Picture 1" descr="Nvidia Logo Wallpaper 4K, Dark background">
          <a:extLst>
            <a:ext uri="{FF2B5EF4-FFF2-40B4-BE49-F238E27FC236}">
              <a16:creationId xmlns:a16="http://schemas.microsoft.com/office/drawing/2014/main" id="{D34E3833-EC68-4AEF-96A5-AC05FE509D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3" t="16072" r="9400" b="19195"/>
        <a:stretch/>
      </xdr:blipFill>
      <xdr:spPr bwMode="auto">
        <a:xfrm>
          <a:off x="281939" y="1"/>
          <a:ext cx="1688375" cy="767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364671</xdr:colOff>
      <xdr:row>3</xdr:row>
      <xdr:rowOff>152399</xdr:rowOff>
    </xdr:from>
    <xdr:to>
      <xdr:col>13</xdr:col>
      <xdr:colOff>566058</xdr:colOff>
      <xdr:row>12</xdr:row>
      <xdr:rowOff>65314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03B0CD-B3CE-FE5E-9037-07954EF8332B}"/>
            </a:ext>
          </a:extLst>
        </xdr:cNvPr>
        <xdr:cNvSpPr txBox="1"/>
      </xdr:nvSpPr>
      <xdr:spPr>
        <a:xfrm>
          <a:off x="9252857" y="1420585"/>
          <a:ext cx="3946072" cy="21227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1" u="sng">
              <a:latin typeface="Lora" pitchFamily="2" charset="0"/>
            </a:rPr>
            <a:t>Commentary:</a:t>
          </a:r>
        </a:p>
        <a:p>
          <a:endParaRPr lang="en-GB" sz="1000">
            <a:latin typeface="Lora" pitchFamily="2" charset="0"/>
          </a:endParaRPr>
        </a:p>
        <a:p>
          <a:r>
            <a:rPr lang="en-GB" sz="1000">
              <a:latin typeface="Lora" pitchFamily="2" charset="0"/>
            </a:rPr>
            <a:t>FY26 revenue came in 4.1% above budget, driven mainly by a 42.7% Graphics beat as the Blackwell gaming ramp was stronger than expected, while Compute &amp; Networking was broadly in line at +0.9%. Gross profit was slightly ahead of plan (+1.6%), but COGS ran 10.7% above budget, partly reflecting product mix and one‑off charges, resulting in modest margin compression. Operating expenses were tightly controlled, with SG&amp;A and R&amp;D coming in 47% and 26% below budget respectively, supporting a significant outperformance at the EBITDA, EBIT and Net Income lines.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C170-A16A-490A-9E68-7B46CEFE90DF}">
  <dimension ref="A1:N17"/>
  <sheetViews>
    <sheetView showGridLines="0" tabSelected="1" workbookViewId="0">
      <selection activeCell="D8" sqref="D8"/>
    </sheetView>
  </sheetViews>
  <sheetFormatPr defaultColWidth="9.15234375" defaultRowHeight="19.5" customHeight="1" x14ac:dyDescent="0.7"/>
  <cols>
    <col min="1" max="1" width="4.69140625" style="19" customWidth="1"/>
    <col min="2" max="2" width="4.84375" style="19" customWidth="1"/>
    <col min="3" max="3" width="36.69140625" style="19" customWidth="1"/>
    <col min="4" max="11" width="10.69140625" style="19" customWidth="1"/>
    <col min="12" max="12" width="26.69140625" style="19" customWidth="1"/>
    <col min="13" max="13" width="10.69140625" style="19" customWidth="1"/>
    <col min="14" max="14" width="4.84375" style="19" customWidth="1"/>
    <col min="15" max="16384" width="9.15234375" style="19"/>
  </cols>
  <sheetData>
    <row r="1" spans="1:14" ht="19.75" thickBot="1" x14ac:dyDescent="0.75">
      <c r="A1" s="18"/>
    </row>
    <row r="2" spans="1:14" ht="123.9" thickTop="1" x14ac:dyDescent="4.25">
      <c r="B2" s="20"/>
      <c r="C2" s="21"/>
      <c r="D2" s="21"/>
      <c r="E2" s="21"/>
      <c r="F2" s="22"/>
      <c r="G2" s="23"/>
      <c r="H2" s="24"/>
      <c r="I2" s="24"/>
      <c r="J2" s="24"/>
      <c r="K2" s="24"/>
      <c r="L2" s="24"/>
      <c r="M2" s="24"/>
      <c r="N2" s="25"/>
    </row>
    <row r="3" spans="1:14" ht="19.3" x14ac:dyDescent="0.7">
      <c r="B3" s="26"/>
      <c r="N3" s="27"/>
    </row>
    <row r="4" spans="1:14" ht="35.15" x14ac:dyDescent="1.25">
      <c r="B4" s="26"/>
      <c r="C4" s="28" t="s">
        <v>46</v>
      </c>
      <c r="M4" s="29"/>
      <c r="N4" s="27"/>
    </row>
    <row r="5" spans="1:14" ht="19.3" x14ac:dyDescent="0.7">
      <c r="B5" s="26"/>
      <c r="C5" s="30"/>
      <c r="K5" s="31"/>
      <c r="N5" s="27"/>
    </row>
    <row r="6" spans="1:14" ht="24.9" x14ac:dyDescent="0.9">
      <c r="B6" s="26"/>
      <c r="C6" s="32" t="s">
        <v>36</v>
      </c>
      <c r="D6" s="33"/>
      <c r="E6" s="33"/>
      <c r="F6" s="33"/>
      <c r="G6" s="33"/>
      <c r="K6" s="31"/>
      <c r="N6" s="27"/>
    </row>
    <row r="7" spans="1:14" ht="24.9" x14ac:dyDescent="0.9">
      <c r="B7" s="26"/>
      <c r="C7" s="34"/>
      <c r="D7" s="33"/>
      <c r="E7" s="33"/>
      <c r="F7" s="33"/>
      <c r="G7" s="33"/>
      <c r="K7" s="31"/>
      <c r="N7" s="27"/>
    </row>
    <row r="8" spans="1:14" ht="22.3" x14ac:dyDescent="0.8">
      <c r="B8" s="26"/>
      <c r="C8" s="35" t="s">
        <v>38</v>
      </c>
      <c r="D8" s="33"/>
      <c r="E8" s="33"/>
      <c r="F8" s="33"/>
      <c r="G8" s="33"/>
      <c r="H8" s="36"/>
      <c r="M8" s="37"/>
      <c r="N8" s="27"/>
    </row>
    <row r="9" spans="1:14" ht="22.3" x14ac:dyDescent="0.8">
      <c r="B9" s="26"/>
      <c r="C9" s="35" t="s">
        <v>39</v>
      </c>
      <c r="D9" s="33"/>
      <c r="E9" s="33"/>
      <c r="F9" s="33"/>
      <c r="G9" s="33"/>
      <c r="H9" s="36"/>
      <c r="M9" s="37"/>
      <c r="N9" s="27"/>
    </row>
    <row r="10" spans="1:14" ht="22.3" x14ac:dyDescent="0.8">
      <c r="B10" s="26"/>
      <c r="C10" s="35" t="s">
        <v>40</v>
      </c>
      <c r="D10" s="33"/>
      <c r="E10" s="33"/>
      <c r="F10" s="33"/>
      <c r="G10" s="33"/>
      <c r="H10" s="36"/>
      <c r="M10" s="37"/>
      <c r="N10" s="27"/>
    </row>
    <row r="11" spans="1:14" ht="22.3" x14ac:dyDescent="0.8">
      <c r="B11" s="26"/>
      <c r="C11" s="35"/>
      <c r="D11" s="33"/>
      <c r="E11" s="33"/>
      <c r="F11" s="33"/>
      <c r="G11" s="33"/>
      <c r="H11" s="36"/>
      <c r="L11" s="36"/>
      <c r="M11" s="37"/>
      <c r="N11" s="27"/>
    </row>
    <row r="12" spans="1:14" ht="22.3" x14ac:dyDescent="0.8">
      <c r="B12" s="26"/>
      <c r="C12" s="35"/>
      <c r="D12" s="33"/>
      <c r="E12" s="33"/>
      <c r="F12" s="33"/>
      <c r="G12" s="33"/>
      <c r="H12" s="36"/>
      <c r="L12" s="36"/>
      <c r="M12" s="37"/>
      <c r="N12" s="27"/>
    </row>
    <row r="13" spans="1:14" ht="22.3" x14ac:dyDescent="0.8">
      <c r="B13" s="26"/>
      <c r="C13" s="35"/>
      <c r="D13" s="33"/>
      <c r="E13" s="33"/>
      <c r="F13" s="33"/>
      <c r="G13" s="33"/>
      <c r="H13" s="36"/>
      <c r="L13" s="36"/>
      <c r="M13" s="37"/>
      <c r="N13" s="27"/>
    </row>
    <row r="14" spans="1:14" ht="21" x14ac:dyDescent="0.75">
      <c r="B14" s="26"/>
      <c r="C14" s="38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27"/>
    </row>
    <row r="15" spans="1:14" ht="21" x14ac:dyDescent="0.75">
      <c r="B15" s="26"/>
      <c r="C15" s="38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27"/>
    </row>
    <row r="16" spans="1:14" ht="19.75" thickBot="1" x14ac:dyDescent="0.75">
      <c r="B16" s="39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1" t="s">
        <v>37</v>
      </c>
    </row>
    <row r="17" ht="19.75" thickTop="1" x14ac:dyDescent="0.7"/>
  </sheetData>
  <conditionalFormatting sqref="M8:M13">
    <cfRule type="expression" dxfId="0" priority="1">
      <formula>M8=1</formula>
    </cfRule>
  </conditionalFormatting>
  <hyperlinks>
    <hyperlink ref="C8" location="Budget_Annual!A1" display="Budget_Annual" xr:uid="{C524B81E-875C-40D5-82C4-7B4B855E241E}"/>
    <hyperlink ref="C9" location="Budget_QTR!A1" display="Budget_QTR" xr:uid="{926AD37D-50BB-4A3B-A2FD-6A73EE0B3DCE}"/>
    <hyperlink ref="C10" location="Variance_Annual!A1" display="Variance_Annual" xr:uid="{EC2303EC-5E51-4F4A-8FE9-D036A525792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79B4-8031-4CD4-8CC6-D9D3BF0B2EA2}">
  <dimension ref="B1:J27"/>
  <sheetViews>
    <sheetView showGridLines="0" topLeftCell="A7" workbookViewId="0">
      <selection activeCell="B3" sqref="B3:E28"/>
    </sheetView>
  </sheetViews>
  <sheetFormatPr defaultRowHeight="17.600000000000001" x14ac:dyDescent="0.65"/>
  <cols>
    <col min="1" max="1" width="3.84375" style="4" customWidth="1"/>
    <col min="2" max="2" width="28.23046875" style="4" customWidth="1"/>
    <col min="3" max="3" width="3.765625" style="4" customWidth="1"/>
    <col min="4" max="7" width="12.23046875" style="4" customWidth="1"/>
    <col min="8" max="8" width="12" style="4" customWidth="1"/>
    <col min="9" max="9" width="14.07421875" style="4" customWidth="1"/>
    <col min="10" max="10" width="13.921875" style="4" customWidth="1"/>
    <col min="11" max="20" width="18.4609375" style="4" customWidth="1"/>
    <col min="21" max="16384" width="9.23046875" style="4"/>
  </cols>
  <sheetData>
    <row r="1" spans="2:10" ht="60.9" customHeight="1" x14ac:dyDescent="1.3">
      <c r="B1" s="1"/>
      <c r="C1" s="1"/>
      <c r="D1" s="2" t="s">
        <v>0</v>
      </c>
      <c r="E1" s="1"/>
      <c r="F1" s="1"/>
      <c r="G1" s="1"/>
      <c r="H1" s="2"/>
      <c r="I1" s="2"/>
      <c r="J1" s="3"/>
    </row>
    <row r="3" spans="2:10" ht="18" thickBot="1" x14ac:dyDescent="0.7">
      <c r="B3" s="5" t="s">
        <v>1</v>
      </c>
      <c r="D3" s="6" t="s">
        <v>2</v>
      </c>
    </row>
    <row r="4" spans="2:10" ht="18" thickTop="1" x14ac:dyDescent="0.65"/>
    <row r="5" spans="2:10" x14ac:dyDescent="0.65">
      <c r="B5" s="4" t="s">
        <v>3</v>
      </c>
      <c r="D5" s="17">
        <v>207452.84999999998</v>
      </c>
    </row>
    <row r="6" spans="2:10" x14ac:dyDescent="0.65">
      <c r="B6" s="4" t="s">
        <v>4</v>
      </c>
      <c r="D6" s="17">
        <v>15734.400000000001</v>
      </c>
    </row>
    <row r="7" spans="2:10" x14ac:dyDescent="0.65">
      <c r="B7" s="4" t="s">
        <v>5</v>
      </c>
      <c r="D7" s="17">
        <v>191718.44999999998</v>
      </c>
    </row>
    <row r="8" spans="2:10" x14ac:dyDescent="0.65">
      <c r="B8" s="4" t="s">
        <v>6</v>
      </c>
      <c r="D8" s="17">
        <v>56427.175199999998</v>
      </c>
    </row>
    <row r="9" spans="2:10" x14ac:dyDescent="0.65">
      <c r="B9" s="4" t="s">
        <v>7</v>
      </c>
      <c r="D9" s="17">
        <v>151025.67479999998</v>
      </c>
    </row>
    <row r="10" spans="2:10" x14ac:dyDescent="0.65">
      <c r="B10" s="4" t="s">
        <v>8</v>
      </c>
      <c r="D10" s="16">
        <v>0.72799999999999998</v>
      </c>
    </row>
    <row r="11" spans="2:10" x14ac:dyDescent="0.65">
      <c r="B11" s="4" t="s">
        <v>9</v>
      </c>
      <c r="D11" s="17">
        <v>8713.0196999999989</v>
      </c>
    </row>
    <row r="12" spans="2:10" x14ac:dyDescent="0.65">
      <c r="B12" s="4" t="s">
        <v>10</v>
      </c>
      <c r="D12" s="16">
        <v>4.2000000000000003E-2</v>
      </c>
    </row>
    <row r="13" spans="2:10" x14ac:dyDescent="0.65">
      <c r="B13" s="4" t="s">
        <v>11</v>
      </c>
      <c r="D13" s="17">
        <v>24894.341999999997</v>
      </c>
    </row>
    <row r="14" spans="2:10" x14ac:dyDescent="0.65">
      <c r="B14" s="4" t="s">
        <v>12</v>
      </c>
      <c r="D14" s="16">
        <v>0.12</v>
      </c>
    </row>
    <row r="15" spans="2:10" x14ac:dyDescent="0.65">
      <c r="B15" s="4" t="s">
        <v>13</v>
      </c>
      <c r="D15" s="17">
        <v>22819.813500000004</v>
      </c>
    </row>
    <row r="16" spans="2:10" x14ac:dyDescent="0.65">
      <c r="B16" s="4" t="s">
        <v>14</v>
      </c>
      <c r="D16" s="16">
        <v>0.11000000000000003</v>
      </c>
    </row>
    <row r="17" spans="2:4" x14ac:dyDescent="0.65">
      <c r="B17" s="4" t="s">
        <v>15</v>
      </c>
      <c r="D17" s="17">
        <v>1812.7689124999999</v>
      </c>
    </row>
    <row r="18" spans="2:4" x14ac:dyDescent="0.65">
      <c r="B18" s="4" t="s">
        <v>16</v>
      </c>
      <c r="D18" s="17">
        <v>21007.044587500004</v>
      </c>
    </row>
    <row r="19" spans="2:4" x14ac:dyDescent="0.65">
      <c r="B19" s="4" t="s">
        <v>17</v>
      </c>
      <c r="D19" s="17">
        <v>829.81139999999994</v>
      </c>
    </row>
    <row r="20" spans="2:4" x14ac:dyDescent="0.65">
      <c r="B20" s="4" t="s">
        <v>18</v>
      </c>
      <c r="D20" s="17">
        <v>20177.233187500005</v>
      </c>
    </row>
    <row r="21" spans="2:4" x14ac:dyDescent="0.65">
      <c r="B21" s="4" t="s">
        <v>19</v>
      </c>
      <c r="D21" s="17">
        <v>2522.1541484375007</v>
      </c>
    </row>
    <row r="22" spans="2:4" x14ac:dyDescent="0.65">
      <c r="B22" s="4" t="s">
        <v>20</v>
      </c>
      <c r="D22" s="17">
        <v>17655.079039062504</v>
      </c>
    </row>
    <row r="23" spans="2:4" x14ac:dyDescent="0.65">
      <c r="B23" s="4" t="s">
        <v>21</v>
      </c>
      <c r="D23" s="17">
        <v>5601.2269499999993</v>
      </c>
    </row>
    <row r="24" spans="2:4" x14ac:dyDescent="0.65">
      <c r="B24" s="4" t="s">
        <v>22</v>
      </c>
      <c r="D24" s="17">
        <v>10306.407312739731</v>
      </c>
    </row>
    <row r="27" spans="2:4" x14ac:dyDescent="0.65">
      <c r="B27" s="43" t="s">
        <v>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70CC-AB06-48B8-9729-D36AD683B354}">
  <dimension ref="B1:M19"/>
  <sheetViews>
    <sheetView showGridLines="0" workbookViewId="0">
      <selection activeCell="B3" sqref="B3:M19"/>
    </sheetView>
  </sheetViews>
  <sheetFormatPr defaultRowHeight="17.600000000000001" x14ac:dyDescent="0.65"/>
  <cols>
    <col min="1" max="1" width="3.84375" style="4" customWidth="1"/>
    <col min="2" max="2" width="28.23046875" style="4" customWidth="1"/>
    <col min="3" max="3" width="4.15234375" style="4" customWidth="1"/>
    <col min="4" max="4" width="15.3046875" style="4" customWidth="1"/>
    <col min="5" max="8" width="9.07421875" style="4" customWidth="1"/>
    <col min="9" max="12" width="15.07421875" style="4" customWidth="1"/>
    <col min="13" max="13" width="8.69140625" style="4" customWidth="1"/>
    <col min="14" max="20" width="18.4609375" style="4" customWidth="1"/>
    <col min="21" max="16384" width="9.23046875" style="4"/>
  </cols>
  <sheetData>
    <row r="1" spans="2:13" ht="60.9" customHeight="1" x14ac:dyDescent="1.3">
      <c r="B1" s="1"/>
      <c r="C1" s="1"/>
      <c r="D1" s="2" t="s">
        <v>0</v>
      </c>
      <c r="E1" s="1"/>
      <c r="F1" s="1"/>
      <c r="G1" s="1"/>
      <c r="H1" s="2"/>
      <c r="I1" s="2"/>
      <c r="J1" s="3"/>
      <c r="K1" s="1"/>
      <c r="L1" s="1"/>
      <c r="M1" s="1"/>
    </row>
    <row r="2" spans="2:13" x14ac:dyDescent="0.65">
      <c r="D2" s="8"/>
    </row>
    <row r="3" spans="2:13" ht="18" thickBot="1" x14ac:dyDescent="0.7">
      <c r="B3" s="5" t="s">
        <v>1</v>
      </c>
      <c r="C3" s="5"/>
      <c r="D3" s="9" t="s">
        <v>2</v>
      </c>
      <c r="E3" s="9" t="s">
        <v>23</v>
      </c>
      <c r="F3" s="9" t="s">
        <v>24</v>
      </c>
      <c r="G3" s="9" t="s">
        <v>25</v>
      </c>
      <c r="H3" s="9" t="s">
        <v>26</v>
      </c>
      <c r="I3" s="9" t="s">
        <v>27</v>
      </c>
      <c r="J3" s="9" t="s">
        <v>28</v>
      </c>
      <c r="K3" s="9" t="s">
        <v>29</v>
      </c>
      <c r="L3" s="9" t="s">
        <v>30</v>
      </c>
      <c r="M3" s="9" t="s">
        <v>31</v>
      </c>
    </row>
    <row r="4" spans="2:13" ht="18" thickTop="1" x14ac:dyDescent="0.65"/>
    <row r="5" spans="2:13" x14ac:dyDescent="0.65">
      <c r="B5" s="4" t="s">
        <v>3</v>
      </c>
      <c r="D5" s="7">
        <f>Budget_Annual!D5</f>
        <v>207452.84999999998</v>
      </c>
      <c r="E5" s="10">
        <v>0.2</v>
      </c>
      <c r="F5" s="10">
        <v>0.23</v>
      </c>
      <c r="G5" s="10">
        <v>0.25</v>
      </c>
      <c r="H5" s="10">
        <v>0.32</v>
      </c>
      <c r="I5" s="7">
        <f>$D5*E5</f>
        <v>41490.57</v>
      </c>
      <c r="J5" s="7">
        <f t="shared" ref="J5:L15" si="0">$D5*F5</f>
        <v>47714.155499999993</v>
      </c>
      <c r="K5" s="7">
        <f t="shared" si="0"/>
        <v>51863.212499999994</v>
      </c>
      <c r="L5" s="7">
        <f t="shared" si="0"/>
        <v>66384.911999999997</v>
      </c>
      <c r="M5" s="11" t="str">
        <f>IF($D5=SUM($I5:$L5), "Yes", "No")</f>
        <v>Yes</v>
      </c>
    </row>
    <row r="6" spans="2:13" x14ac:dyDescent="0.65">
      <c r="B6" s="4" t="s">
        <v>4</v>
      </c>
      <c r="D6" s="7">
        <f>Budget_Annual!D6</f>
        <v>15734.400000000001</v>
      </c>
      <c r="E6" s="10">
        <v>0.2</v>
      </c>
      <c r="F6" s="10">
        <v>0.23</v>
      </c>
      <c r="G6" s="10">
        <v>0.25</v>
      </c>
      <c r="H6" s="10">
        <v>0.32</v>
      </c>
      <c r="I6" s="7">
        <f t="shared" ref="I6:I15" si="1">$D6*E6</f>
        <v>3146.8800000000006</v>
      </c>
      <c r="J6" s="7">
        <f t="shared" si="0"/>
        <v>3618.9120000000007</v>
      </c>
      <c r="K6" s="7">
        <f t="shared" si="0"/>
        <v>3933.6000000000004</v>
      </c>
      <c r="L6" s="7">
        <f t="shared" si="0"/>
        <v>5035.0080000000007</v>
      </c>
      <c r="M6" s="11" t="str">
        <f t="shared" ref="M6:M15" si="2">IF($D6=SUM($I6:$L6), "Yes", "No")</f>
        <v>Yes</v>
      </c>
    </row>
    <row r="7" spans="2:13" x14ac:dyDescent="0.65">
      <c r="B7" s="4" t="s">
        <v>5</v>
      </c>
      <c r="D7" s="7">
        <f>Budget_Annual!D7</f>
        <v>191718.44999999998</v>
      </c>
      <c r="E7" s="10">
        <v>0.2</v>
      </c>
      <c r="F7" s="10">
        <v>0.23</v>
      </c>
      <c r="G7" s="10">
        <v>0.25</v>
      </c>
      <c r="H7" s="10">
        <v>0.32</v>
      </c>
      <c r="I7" s="7">
        <f t="shared" si="1"/>
        <v>38343.689999999995</v>
      </c>
      <c r="J7" s="7">
        <f t="shared" si="0"/>
        <v>44095.243499999997</v>
      </c>
      <c r="K7" s="7">
        <f t="shared" si="0"/>
        <v>47929.612499999996</v>
      </c>
      <c r="L7" s="7">
        <f t="shared" si="0"/>
        <v>61349.903999999995</v>
      </c>
      <c r="M7" s="11" t="str">
        <f t="shared" si="2"/>
        <v>Yes</v>
      </c>
    </row>
    <row r="8" spans="2:13" x14ac:dyDescent="0.65">
      <c r="B8" s="4" t="s">
        <v>6</v>
      </c>
      <c r="D8" s="7">
        <f>Budget_Annual!D8</f>
        <v>56427.175199999998</v>
      </c>
      <c r="E8" s="10">
        <v>0.2</v>
      </c>
      <c r="F8" s="10">
        <v>0.23</v>
      </c>
      <c r="G8" s="10">
        <v>0.25</v>
      </c>
      <c r="H8" s="10">
        <v>0.32</v>
      </c>
      <c r="I8" s="7">
        <f t="shared" si="1"/>
        <v>11285.43504</v>
      </c>
      <c r="J8" s="7">
        <f t="shared" si="0"/>
        <v>12978.250296</v>
      </c>
      <c r="K8" s="7">
        <f t="shared" si="0"/>
        <v>14106.793799999999</v>
      </c>
      <c r="L8" s="7">
        <f t="shared" si="0"/>
        <v>18056.696064</v>
      </c>
      <c r="M8" s="11" t="str">
        <f t="shared" si="2"/>
        <v>Yes</v>
      </c>
    </row>
    <row r="9" spans="2:13" x14ac:dyDescent="0.65">
      <c r="B9" s="4" t="s">
        <v>7</v>
      </c>
      <c r="D9" s="7">
        <f>Budget_Annual!D9</f>
        <v>151025.67479999998</v>
      </c>
      <c r="E9" s="10">
        <v>0.2</v>
      </c>
      <c r="F9" s="10">
        <v>0.23</v>
      </c>
      <c r="G9" s="10">
        <v>0.25</v>
      </c>
      <c r="H9" s="10">
        <v>0.32</v>
      </c>
      <c r="I9" s="7">
        <f t="shared" si="1"/>
        <v>30205.134959999996</v>
      </c>
      <c r="J9" s="7">
        <f t="shared" si="0"/>
        <v>34735.905203999995</v>
      </c>
      <c r="K9" s="7">
        <f t="shared" si="0"/>
        <v>37756.418699999995</v>
      </c>
      <c r="L9" s="7">
        <f t="shared" si="0"/>
        <v>48328.215935999993</v>
      </c>
      <c r="M9" s="11" t="str">
        <f t="shared" si="2"/>
        <v>Yes</v>
      </c>
    </row>
    <row r="10" spans="2:13" x14ac:dyDescent="0.65">
      <c r="B10" s="4" t="s">
        <v>9</v>
      </c>
      <c r="D10" s="7">
        <f>Budget_Annual!D11</f>
        <v>8713.0196999999989</v>
      </c>
      <c r="E10" s="10">
        <v>0.2</v>
      </c>
      <c r="F10" s="10">
        <v>0.23</v>
      </c>
      <c r="G10" s="10">
        <v>0.25</v>
      </c>
      <c r="H10" s="10">
        <v>0.32</v>
      </c>
      <c r="I10" s="7">
        <f t="shared" si="1"/>
        <v>1742.60394</v>
      </c>
      <c r="J10" s="7">
        <f t="shared" si="0"/>
        <v>2003.9945309999998</v>
      </c>
      <c r="K10" s="7">
        <f t="shared" si="0"/>
        <v>2178.2549249999997</v>
      </c>
      <c r="L10" s="7">
        <f t="shared" si="0"/>
        <v>2788.1663039999999</v>
      </c>
      <c r="M10" s="11" t="str">
        <f t="shared" si="2"/>
        <v>Yes</v>
      </c>
    </row>
    <row r="11" spans="2:13" x14ac:dyDescent="0.65">
      <c r="B11" s="4" t="s">
        <v>11</v>
      </c>
      <c r="D11" s="7">
        <f>Budget_Annual!D13</f>
        <v>24894.341999999997</v>
      </c>
      <c r="E11" s="10">
        <v>0.2</v>
      </c>
      <c r="F11" s="10">
        <v>0.23</v>
      </c>
      <c r="G11" s="10">
        <v>0.25</v>
      </c>
      <c r="H11" s="10">
        <v>0.32</v>
      </c>
      <c r="I11" s="7">
        <f t="shared" si="1"/>
        <v>4978.8683999999994</v>
      </c>
      <c r="J11" s="7">
        <f t="shared" si="0"/>
        <v>5725.6986599999991</v>
      </c>
      <c r="K11" s="7">
        <f t="shared" si="0"/>
        <v>6223.5854999999992</v>
      </c>
      <c r="L11" s="7">
        <f t="shared" si="0"/>
        <v>7966.1894399999992</v>
      </c>
      <c r="M11" s="11" t="str">
        <f t="shared" si="2"/>
        <v>Yes</v>
      </c>
    </row>
    <row r="12" spans="2:13" x14ac:dyDescent="0.65">
      <c r="B12" s="4" t="s">
        <v>16</v>
      </c>
      <c r="D12" s="7">
        <f>Budget_Annual!D18</f>
        <v>21007.044587500004</v>
      </c>
      <c r="E12" s="10">
        <v>0.2</v>
      </c>
      <c r="F12" s="10">
        <v>0.23</v>
      </c>
      <c r="G12" s="10">
        <v>0.25</v>
      </c>
      <c r="H12" s="10">
        <v>0.32</v>
      </c>
      <c r="I12" s="7">
        <f t="shared" si="1"/>
        <v>4201.4089175000008</v>
      </c>
      <c r="J12" s="7">
        <f t="shared" si="0"/>
        <v>4831.6202551250008</v>
      </c>
      <c r="K12" s="7">
        <f t="shared" si="0"/>
        <v>5251.761146875001</v>
      </c>
      <c r="L12" s="7">
        <f t="shared" si="0"/>
        <v>6722.2542680000015</v>
      </c>
      <c r="M12" s="11" t="str">
        <f t="shared" si="2"/>
        <v>Yes</v>
      </c>
    </row>
    <row r="13" spans="2:13" x14ac:dyDescent="0.65">
      <c r="B13" s="4" t="s">
        <v>20</v>
      </c>
      <c r="D13" s="7">
        <f>Budget_Annual!D22</f>
        <v>17655.079039062504</v>
      </c>
      <c r="E13" s="10">
        <v>0.2</v>
      </c>
      <c r="F13" s="10">
        <v>0.23</v>
      </c>
      <c r="G13" s="10">
        <v>0.25</v>
      </c>
      <c r="H13" s="10">
        <v>0.32</v>
      </c>
      <c r="I13" s="7">
        <f t="shared" si="1"/>
        <v>3531.015807812501</v>
      </c>
      <c r="J13" s="7">
        <f t="shared" si="0"/>
        <v>4060.668178984376</v>
      </c>
      <c r="K13" s="7">
        <f t="shared" si="0"/>
        <v>4413.7697597656261</v>
      </c>
      <c r="L13" s="7">
        <f t="shared" si="0"/>
        <v>5649.6252925000017</v>
      </c>
      <c r="M13" s="11" t="str">
        <f t="shared" si="2"/>
        <v>Yes</v>
      </c>
    </row>
    <row r="14" spans="2:13" x14ac:dyDescent="0.65">
      <c r="B14" s="4" t="s">
        <v>21</v>
      </c>
      <c r="D14" s="7">
        <f>Budget_Annual!D23</f>
        <v>5601.2269499999993</v>
      </c>
      <c r="E14" s="10">
        <v>0.2</v>
      </c>
      <c r="F14" s="10">
        <v>0.23</v>
      </c>
      <c r="G14" s="10">
        <v>0.25</v>
      </c>
      <c r="H14" s="10">
        <v>0.32</v>
      </c>
      <c r="I14" s="7">
        <f t="shared" si="1"/>
        <v>1120.2453899999998</v>
      </c>
      <c r="J14" s="7">
        <f t="shared" si="0"/>
        <v>1288.2821984999998</v>
      </c>
      <c r="K14" s="7">
        <f t="shared" si="0"/>
        <v>1400.3067374999998</v>
      </c>
      <c r="L14" s="7">
        <f t="shared" si="0"/>
        <v>1792.3926239999998</v>
      </c>
      <c r="M14" s="11" t="str">
        <f t="shared" si="2"/>
        <v>Yes</v>
      </c>
    </row>
    <row r="15" spans="2:13" x14ac:dyDescent="0.65">
      <c r="B15" s="4" t="s">
        <v>22</v>
      </c>
      <c r="D15" s="7">
        <f>Budget_Annual!D24</f>
        <v>10306.407312739731</v>
      </c>
      <c r="E15" s="10">
        <v>0.2</v>
      </c>
      <c r="F15" s="10">
        <v>0.23</v>
      </c>
      <c r="G15" s="10">
        <v>0.25</v>
      </c>
      <c r="H15" s="10">
        <v>0.32</v>
      </c>
      <c r="I15" s="7">
        <f t="shared" si="1"/>
        <v>2061.2814625479464</v>
      </c>
      <c r="J15" s="7">
        <f t="shared" si="0"/>
        <v>2370.4736819301384</v>
      </c>
      <c r="K15" s="7">
        <f t="shared" si="0"/>
        <v>2576.6018281849329</v>
      </c>
      <c r="L15" s="7">
        <f t="shared" si="0"/>
        <v>3298.0503400767143</v>
      </c>
      <c r="M15" s="11" t="str">
        <f t="shared" si="2"/>
        <v>Yes</v>
      </c>
    </row>
    <row r="18" spans="2:2" x14ac:dyDescent="0.65">
      <c r="B18" s="44" t="s">
        <v>41</v>
      </c>
    </row>
    <row r="19" spans="2:2" x14ac:dyDescent="0.65">
      <c r="B19" s="42" t="s">
        <v>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613F-BB58-4ADD-ACB7-5855C4DB845F}">
  <dimension ref="B1:M20"/>
  <sheetViews>
    <sheetView showGridLines="0" topLeftCell="B2" workbookViewId="0">
      <selection activeCell="B3" sqref="B3:I20"/>
    </sheetView>
  </sheetViews>
  <sheetFormatPr defaultRowHeight="19.3" x14ac:dyDescent="0.7"/>
  <cols>
    <col min="1" max="1" width="3.3828125" style="12" customWidth="1"/>
    <col min="2" max="2" width="20.61328125" style="12" customWidth="1"/>
    <col min="3" max="3" width="7.4609375" style="12" customWidth="1"/>
    <col min="4" max="4" width="4.53515625" style="12" customWidth="1"/>
    <col min="5" max="9" width="17.921875" style="12" customWidth="1"/>
    <col min="10" max="13" width="13.23046875" style="12" customWidth="1"/>
    <col min="14" max="16384" width="9.23046875" style="12"/>
  </cols>
  <sheetData>
    <row r="1" spans="2:13" s="4" customFormat="1" ht="60.9" customHeight="1" x14ac:dyDescent="1.3">
      <c r="B1" s="1"/>
      <c r="C1" s="1"/>
      <c r="D1" s="2" t="s">
        <v>0</v>
      </c>
      <c r="E1" s="1"/>
      <c r="F1" s="1"/>
      <c r="G1" s="1"/>
      <c r="H1" s="2"/>
      <c r="I1" s="2"/>
    </row>
    <row r="3" spans="2:13" ht="19.75" thickBot="1" x14ac:dyDescent="0.75">
      <c r="B3" s="5" t="s">
        <v>1</v>
      </c>
      <c r="C3" s="5"/>
      <c r="E3" s="9" t="s">
        <v>2</v>
      </c>
      <c r="F3" s="9" t="s">
        <v>32</v>
      </c>
      <c r="G3" s="9" t="s">
        <v>33</v>
      </c>
      <c r="H3" s="9" t="s">
        <v>34</v>
      </c>
      <c r="I3" s="9" t="s">
        <v>35</v>
      </c>
    </row>
    <row r="4" spans="2:13" ht="19.75" thickTop="1" x14ac:dyDescent="0.7">
      <c r="B4" s="4"/>
      <c r="C4" s="4"/>
      <c r="D4" s="4"/>
      <c r="E4" s="4"/>
      <c r="F4" s="4"/>
      <c r="G4" s="4"/>
      <c r="H4" s="13"/>
    </row>
    <row r="5" spans="2:13" x14ac:dyDescent="0.7">
      <c r="B5" s="4" t="s">
        <v>3</v>
      </c>
      <c r="C5" s="4"/>
      <c r="D5" s="7"/>
      <c r="E5" s="7">
        <f>Budget_QTR!D5</f>
        <v>207452.84999999998</v>
      </c>
      <c r="F5" s="7">
        <v>215938</v>
      </c>
      <c r="G5" s="14">
        <f>F5-E5</f>
        <v>8485.1500000000233</v>
      </c>
      <c r="H5" s="13">
        <f>IF(E5=0,"",(F5-E5)/E5)</f>
        <v>4.0901583179021275E-2</v>
      </c>
      <c r="I5" s="15" t="str">
        <f>IF(OR(TRIM(B5)="Revenue",TRIM(B5)="Graphics revenue",TRIM(B5)="Compute &amp; Networking revenue",TRIM(B5)="Gross profit",TRIM(B5)="EBITDA",TRIM(B5)="EBIT",TRIM(B5)="Net Income",TRIM(B5)="Free Cash Flow"),IF(H5&gt;0,"Favourable","Unfavourable"),IF(H5&lt;0,"Favourable","Unfavourable"))</f>
        <v>Favourable</v>
      </c>
      <c r="J5" s="7"/>
      <c r="K5" s="7"/>
      <c r="L5" s="7"/>
      <c r="M5" s="11"/>
    </row>
    <row r="6" spans="2:13" x14ac:dyDescent="0.7">
      <c r="B6" s="4" t="s">
        <v>4</v>
      </c>
      <c r="C6" s="4"/>
      <c r="D6" s="7"/>
      <c r="E6" s="7">
        <f>Budget_QTR!D6</f>
        <v>15734.400000000001</v>
      </c>
      <c r="F6" s="7">
        <v>22459</v>
      </c>
      <c r="G6" s="14">
        <f t="shared" ref="G6:G16" si="0">F6-E6</f>
        <v>6724.5999999999985</v>
      </c>
      <c r="H6" s="13">
        <f t="shared" ref="H6:H16" si="1">IF(E6=0,"",(F6-E6)/E6)</f>
        <v>0.42738204189546458</v>
      </c>
      <c r="I6" s="15" t="str">
        <f t="shared" ref="I6:I16" si="2">IF(OR(TRIM(B6)="Revenue",TRIM(B6)="Graphics revenue",TRIM(B6)="Compute &amp; Networking revenue",TRIM(B6)="Gross profit",TRIM(B6)="EBITDA",TRIM(B6)="EBIT",TRIM(B6)="Net Income",TRIM(B6)="Free Cash Flow"),IF(H6&gt;0,"Favourable","Unfavourable"),IF(H6&lt;0,"Favourable","Unfavourable"))</f>
        <v>Favourable</v>
      </c>
      <c r="J6" s="7"/>
      <c r="K6" s="7"/>
      <c r="L6" s="7"/>
      <c r="M6" s="11"/>
    </row>
    <row r="7" spans="2:13" x14ac:dyDescent="0.7">
      <c r="B7" s="4" t="s">
        <v>5</v>
      </c>
      <c r="C7" s="4"/>
      <c r="D7" s="7"/>
      <c r="E7" s="7">
        <f>Budget_QTR!D7</f>
        <v>191718.44999999998</v>
      </c>
      <c r="F7" s="7">
        <v>193479</v>
      </c>
      <c r="G7" s="14">
        <f t="shared" si="0"/>
        <v>1760.5500000000175</v>
      </c>
      <c r="H7" s="13">
        <f t="shared" si="1"/>
        <v>9.1829972545679223E-3</v>
      </c>
      <c r="I7" s="15" t="str">
        <f t="shared" si="2"/>
        <v>Favourable</v>
      </c>
      <c r="J7" s="7"/>
      <c r="K7" s="7"/>
      <c r="L7" s="7"/>
      <c r="M7" s="11"/>
    </row>
    <row r="8" spans="2:13" x14ac:dyDescent="0.7">
      <c r="B8" s="4" t="s">
        <v>6</v>
      </c>
      <c r="C8" s="4"/>
      <c r="D8" s="7"/>
      <c r="E8" s="7">
        <f>Budget_QTR!D8</f>
        <v>56427.175199999998</v>
      </c>
      <c r="F8" s="7">
        <v>62475</v>
      </c>
      <c r="G8" s="14">
        <f t="shared" si="0"/>
        <v>6047.8248000000021</v>
      </c>
      <c r="H8" s="13">
        <f t="shared" si="1"/>
        <v>0.10717929399379189</v>
      </c>
      <c r="I8" s="15" t="str">
        <f t="shared" si="2"/>
        <v>Unfavourable</v>
      </c>
      <c r="J8" s="7"/>
      <c r="K8" s="7"/>
      <c r="L8" s="7"/>
      <c r="M8" s="11"/>
    </row>
    <row r="9" spans="2:13" x14ac:dyDescent="0.7">
      <c r="B9" s="4" t="s">
        <v>7</v>
      </c>
      <c r="C9" s="4"/>
      <c r="D9" s="7"/>
      <c r="E9" s="7">
        <f>Budget_QTR!D9</f>
        <v>151025.67479999998</v>
      </c>
      <c r="F9" s="7">
        <v>153463</v>
      </c>
      <c r="G9" s="14">
        <f t="shared" si="0"/>
        <v>2437.3252000000211</v>
      </c>
      <c r="H9" s="13">
        <f t="shared" si="1"/>
        <v>1.6138482435041047E-2</v>
      </c>
      <c r="I9" s="15" t="str">
        <f t="shared" si="2"/>
        <v>Favourable</v>
      </c>
      <c r="J9" s="7"/>
      <c r="K9" s="7"/>
      <c r="L9" s="7"/>
      <c r="M9" s="11"/>
    </row>
    <row r="10" spans="2:13" x14ac:dyDescent="0.7">
      <c r="B10" s="4" t="s">
        <v>9</v>
      </c>
      <c r="C10" s="4"/>
      <c r="D10" s="7"/>
      <c r="E10" s="7">
        <f>Budget_QTR!D10</f>
        <v>8713.0196999999989</v>
      </c>
      <c r="F10" s="7">
        <v>4579</v>
      </c>
      <c r="G10" s="14">
        <f t="shared" si="0"/>
        <v>-4134.0196999999989</v>
      </c>
      <c r="H10" s="13">
        <f t="shared" si="1"/>
        <v>-0.47446463365622821</v>
      </c>
      <c r="I10" s="15" t="str">
        <f t="shared" si="2"/>
        <v>Favourable</v>
      </c>
      <c r="J10" s="7"/>
      <c r="K10" s="7"/>
      <c r="L10" s="7"/>
      <c r="M10" s="11"/>
    </row>
    <row r="11" spans="2:13" x14ac:dyDescent="0.7">
      <c r="B11" s="4" t="s">
        <v>11</v>
      </c>
      <c r="C11" s="4"/>
      <c r="D11" s="7"/>
      <c r="E11" s="7">
        <f>Budget_QTR!D11</f>
        <v>24894.341999999997</v>
      </c>
      <c r="F11" s="7">
        <v>18497</v>
      </c>
      <c r="G11" s="14">
        <f t="shared" si="0"/>
        <v>-6397.3419999999969</v>
      </c>
      <c r="H11" s="13">
        <f t="shared" si="1"/>
        <v>-0.25697975869376255</v>
      </c>
      <c r="I11" s="15" t="str">
        <f t="shared" si="2"/>
        <v>Favourable</v>
      </c>
      <c r="J11" s="7"/>
      <c r="K11" s="7"/>
      <c r="L11" s="7"/>
      <c r="M11" s="11"/>
    </row>
    <row r="12" spans="2:13" x14ac:dyDescent="0.7">
      <c r="B12" s="4" t="s">
        <v>13</v>
      </c>
      <c r="C12" s="4"/>
      <c r="D12" s="7"/>
      <c r="E12" s="7">
        <f>Budget_Annual!D15</f>
        <v>22819.813500000004</v>
      </c>
      <c r="F12" s="7">
        <v>38446</v>
      </c>
      <c r="G12" s="14">
        <f t="shared" si="0"/>
        <v>15626.186499999996</v>
      </c>
      <c r="H12" s="13">
        <f t="shared" si="1"/>
        <v>0.68476398810183059</v>
      </c>
      <c r="I12" s="15" t="str">
        <f t="shared" si="2"/>
        <v>Favourable</v>
      </c>
      <c r="J12" s="7"/>
      <c r="K12" s="7"/>
      <c r="L12" s="7"/>
      <c r="M12" s="11"/>
    </row>
    <row r="13" spans="2:13" x14ac:dyDescent="0.7">
      <c r="B13" s="4" t="s">
        <v>16</v>
      </c>
      <c r="C13" s="4"/>
      <c r="D13" s="7"/>
      <c r="E13" s="7">
        <f>Budget_QTR!D12</f>
        <v>21007.044587500004</v>
      </c>
      <c r="F13" s="7">
        <v>141450</v>
      </c>
      <c r="G13" s="14">
        <f t="shared" si="0"/>
        <v>120442.9554125</v>
      </c>
      <c r="H13" s="13">
        <f t="shared" si="1"/>
        <v>5.7334555039773738</v>
      </c>
      <c r="I13" s="15" t="str">
        <f t="shared" si="2"/>
        <v>Favourable</v>
      </c>
      <c r="J13" s="7"/>
      <c r="K13" s="7"/>
      <c r="L13" s="7"/>
      <c r="M13" s="11"/>
    </row>
    <row r="14" spans="2:13" x14ac:dyDescent="0.7">
      <c r="B14" s="4" t="s">
        <v>20</v>
      </c>
      <c r="C14" s="4"/>
      <c r="D14" s="7"/>
      <c r="E14" s="7">
        <f>Budget_QTR!D13</f>
        <v>17655.079039062504</v>
      </c>
      <c r="F14" s="7">
        <v>120067</v>
      </c>
      <c r="G14" s="14">
        <f t="shared" si="0"/>
        <v>102411.9209609375</v>
      </c>
      <c r="H14" s="13">
        <f t="shared" si="1"/>
        <v>5.800705889469393</v>
      </c>
      <c r="I14" s="15" t="str">
        <f t="shared" si="2"/>
        <v>Favourable</v>
      </c>
      <c r="J14" s="7"/>
      <c r="K14" s="7"/>
      <c r="L14" s="7"/>
      <c r="M14" s="11"/>
    </row>
    <row r="15" spans="2:13" x14ac:dyDescent="0.7">
      <c r="B15" s="4" t="s">
        <v>21</v>
      </c>
      <c r="C15" s="4"/>
      <c r="D15" s="7"/>
      <c r="E15" s="7">
        <f>Budget_QTR!D14</f>
        <v>5601.2269499999993</v>
      </c>
      <c r="F15" s="7">
        <v>6100</v>
      </c>
      <c r="G15" s="14">
        <f t="shared" si="0"/>
        <v>498.77305000000069</v>
      </c>
      <c r="H15" s="13">
        <f t="shared" si="1"/>
        <v>8.9047106009514709E-2</v>
      </c>
      <c r="I15" s="15" t="str">
        <f t="shared" si="2"/>
        <v>Unfavourable</v>
      </c>
      <c r="J15" s="7"/>
      <c r="K15" s="7"/>
      <c r="L15" s="7"/>
      <c r="M15" s="11"/>
    </row>
    <row r="16" spans="2:13" x14ac:dyDescent="0.7">
      <c r="B16" s="4" t="s">
        <v>22</v>
      </c>
      <c r="C16" s="4"/>
      <c r="D16" s="7"/>
      <c r="E16" s="7">
        <f>Budget_QTR!D15</f>
        <v>10306.407312739731</v>
      </c>
      <c r="F16" s="7">
        <v>77035</v>
      </c>
      <c r="G16" s="14">
        <f t="shared" si="0"/>
        <v>66728.592687260272</v>
      </c>
      <c r="H16" s="13">
        <f t="shared" si="1"/>
        <v>6.4744765719454129</v>
      </c>
      <c r="I16" s="15" t="str">
        <f t="shared" si="2"/>
        <v>Favourable</v>
      </c>
      <c r="J16" s="7"/>
      <c r="K16" s="7"/>
      <c r="L16" s="7"/>
      <c r="M16" s="11"/>
    </row>
    <row r="19" spans="2:2" x14ac:dyDescent="0.7">
      <c r="B19" s="42" t="s">
        <v>42</v>
      </c>
    </row>
    <row r="20" spans="2:2" x14ac:dyDescent="0.7">
      <c r="B20" s="42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Budget_Annual</vt:lpstr>
      <vt:lpstr>Budget_QTR</vt:lpstr>
      <vt:lpstr>Variance_Annual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Sutvij Chavan</dc:creator>
  <cp:lastModifiedBy>Sutvij Chavan</cp:lastModifiedBy>
  <dcterms:created xsi:type="dcterms:W3CDTF">2026-03-22T14:30:26Z</dcterms:created>
  <dcterms:modified xsi:type="dcterms:W3CDTF">2026-03-22T16:26:41Z</dcterms:modified>
</cp:coreProperties>
</file>